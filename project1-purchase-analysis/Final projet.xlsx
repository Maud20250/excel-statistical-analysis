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https://williscollege0-my.sharepoint.com/personal/jean_billa_students_williscollege_com/Documents/Desktop/WILLISCOLLEGE JEAN BILLA/week 7 (Exel fin )/courses 10/"/>
    </mc:Choice>
  </mc:AlternateContent>
  <xr:revisionPtr revIDLastSave="782" documentId="8_{8D59779D-E4B3-4999-B282-095F301C1835}" xr6:coauthVersionLast="47" xr6:coauthVersionMax="47" xr10:uidLastSave="{AA06B871-74C3-4A77-8EF5-4DBCAF5F5F7E}"/>
  <bookViews>
    <workbookView xWindow="-108" yWindow="-108" windowWidth="23256" windowHeight="12456" activeTab="6" xr2:uid="{D85E41C8-2F5E-4194-A2AC-D48700B98802}"/>
  </bookViews>
  <sheets>
    <sheet name="Purchase History" sheetId="1" r:id="rId1"/>
    <sheet name="Goal Seek" sheetId="2" r:id="rId2"/>
    <sheet name="Dashboard Data" sheetId="11" r:id="rId3"/>
    <sheet name="Part 2 end" sheetId="13" r:id="rId4"/>
    <sheet name="Part 3" sheetId="14" r:id="rId5"/>
    <sheet name="Part 4 " sheetId="15" r:id="rId6"/>
    <sheet name="Part 4 end" sheetId="16" r:id="rId7"/>
  </sheets>
  <definedNames>
    <definedName name="Slicer_City">#N/A</definedName>
    <definedName name="Slicer_Gender">#N/A</definedName>
    <definedName name="Slicer_Product_Category">#N/A</definedName>
  </definedNames>
  <calcPr calcId="191029"/>
  <pivotCaches>
    <pivotCache cacheId="2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4" l="1"/>
  <c r="B3" i="14"/>
  <c r="B2" i="14"/>
  <c r="B2" i="13"/>
  <c r="J2" i="11"/>
  <c r="I2" i="11" s="1"/>
  <c r="I3" i="11" s="1"/>
  <c r="B4" i="13" s="1"/>
  <c r="K2" i="11"/>
  <c r="B6" i="13" s="1"/>
  <c r="M5" i="11"/>
  <c r="J59" i="1"/>
  <c r="J4" i="2"/>
  <c r="J3" i="2"/>
  <c r="J2" i="2"/>
  <c r="I4" i="1"/>
  <c r="I3" i="1"/>
  <c r="I2" i="1"/>
  <c r="B3" i="13" l="1"/>
  <c r="B5" i="13"/>
</calcChain>
</file>

<file path=xl/sharedStrings.xml><?xml version="1.0" encoding="utf-8"?>
<sst xmlns="http://schemas.openxmlformats.org/spreadsheetml/2006/main" count="809" uniqueCount="47">
  <si>
    <t>Customer ID</t>
  </si>
  <si>
    <t>Age</t>
  </si>
  <si>
    <t>Gender</t>
  </si>
  <si>
    <t>City</t>
  </si>
  <si>
    <t>Purchase History</t>
  </si>
  <si>
    <t>Product Category</t>
  </si>
  <si>
    <t>Female</t>
  </si>
  <si>
    <t>New York</t>
  </si>
  <si>
    <t>Electronics</t>
  </si>
  <si>
    <t>Male</t>
  </si>
  <si>
    <t>Los Angeles</t>
  </si>
  <si>
    <t>Clothing</t>
  </si>
  <si>
    <t>Chicago</t>
  </si>
  <si>
    <t>Home Decor</t>
  </si>
  <si>
    <t>Houston</t>
  </si>
  <si>
    <t>San Francisco</t>
  </si>
  <si>
    <t>Miami</t>
  </si>
  <si>
    <t>Dallas</t>
  </si>
  <si>
    <t>Seattle</t>
  </si>
  <si>
    <t>Boston</t>
  </si>
  <si>
    <t>Atlanta</t>
  </si>
  <si>
    <t>% of Sales</t>
  </si>
  <si>
    <t>Total</t>
  </si>
  <si>
    <t>Average Age</t>
  </si>
  <si>
    <t>Other Products</t>
  </si>
  <si>
    <t>Mode</t>
  </si>
  <si>
    <t>Metric</t>
  </si>
  <si>
    <t>Mean</t>
  </si>
  <si>
    <t>Median</t>
  </si>
  <si>
    <t>Result</t>
  </si>
  <si>
    <t>Home Décor</t>
  </si>
  <si>
    <t>Label</t>
  </si>
  <si>
    <t>Value</t>
  </si>
  <si>
    <t>Other Products %</t>
  </si>
  <si>
    <t>Total Sales</t>
  </si>
  <si>
    <t>Row Labels</t>
  </si>
  <si>
    <t>Grand Total</t>
  </si>
  <si>
    <t>Column Labels</t>
  </si>
  <si>
    <t>Sum of Purchase History</t>
  </si>
  <si>
    <t>Total Purchase History</t>
  </si>
  <si>
    <t>Percentage</t>
  </si>
  <si>
    <t>Proportion of purchases by females vs. males=Based on the Table the difference is not extremely large, male customers tend to spend more than female customers in this dataset.</t>
  </si>
  <si>
    <t>Female Total</t>
  </si>
  <si>
    <t>Male Total</t>
  </si>
  <si>
    <t>Gender Who Buys More</t>
  </si>
  <si>
    <t>The gender buys the most in each category=Based on the Table in Electronics, the gender with the highest total spending is: Male 
                                           In Clothing, the highest spending gender is: Male
                                                     In Home Décor, the highest spending gender is: Female</t>
  </si>
  <si>
    <t>Total Purchase History by gender for each category=Using the pivot table, the total purchase history for males and females was calculated for each product category.These totals clearly show which gender spends more in Electronic, Clothing, and Home Décor ,allowing us to compare purchasing behavior across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</si>
</sst>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4"/>
      <color rgb="FF1D2125"/>
      <name val="Times New Roman"/>
      <family val="1"/>
    </font>
    <font>
      <sz val="14"/>
      <color rgb="FF1D2125"/>
      <name val="Times New Roman"/>
      <family val="1"/>
    </font>
    <font>
      <b/>
      <sz val="14"/>
      <color theme="1"/>
      <name val="Times New Roman"/>
      <family val="1"/>
    </font>
    <font>
      <sz val="14"/>
      <color theme="1"/>
      <name val="Times New Roman"/>
      <family val="1"/>
    </font>
    <font>
      <b/>
      <sz val="16"/>
      <color theme="1"/>
      <name val="Times New Roman"/>
      <family val="1"/>
    </font>
  </fonts>
  <fills count="9">
    <fill>
      <patternFill patternType="none"/>
    </fill>
    <fill>
      <patternFill patternType="gray125"/>
    </fill>
    <fill>
      <patternFill patternType="solid">
        <fgColor rgb="FFF8F9FA"/>
        <bgColor indexed="64"/>
      </patternFill>
    </fill>
    <fill>
      <patternFill patternType="solid">
        <fgColor rgb="FF3598DB"/>
        <bgColor indexed="64"/>
      </patternFill>
    </fill>
    <fill>
      <patternFill patternType="solid">
        <fgColor theme="9" tint="0.79998168889431442"/>
        <bgColor indexed="64"/>
      </patternFill>
    </fill>
    <fill>
      <patternFill patternType="solid">
        <fgColor rgb="FFFF000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0" fontId="5" fillId="2"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3" fillId="0" borderId="0" xfId="0" applyFont="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xf numFmtId="0" fontId="6" fillId="0" borderId="1" xfId="0" applyFont="1" applyBorder="1" applyAlignment="1">
      <alignment vertical="center" wrapText="1"/>
    </xf>
    <xf numFmtId="0" fontId="8" fillId="4" borderId="1" xfId="0" applyFont="1" applyFill="1" applyBorder="1" applyAlignment="1">
      <alignment horizontal="center" vertical="center" wrapText="1"/>
    </xf>
    <xf numFmtId="0" fontId="6" fillId="5" borderId="1" xfId="0" applyFont="1" applyFill="1" applyBorder="1" applyAlignment="1">
      <alignment vertical="center" wrapText="1"/>
    </xf>
    <xf numFmtId="0" fontId="0" fillId="0" borderId="1" xfId="0" applyBorder="1" applyAlignment="1">
      <alignment vertical="center" wrapText="1"/>
    </xf>
    <xf numFmtId="0" fontId="6" fillId="6" borderId="1" xfId="0" applyFont="1" applyFill="1" applyBorder="1" applyAlignment="1">
      <alignment horizontal="center" vertical="center" wrapText="1"/>
    </xf>
    <xf numFmtId="0" fontId="7" fillId="0" borderId="0" xfId="0" applyFont="1"/>
    <xf numFmtId="0" fontId="4" fillId="6" borderId="1" xfId="0" applyFont="1" applyFill="1" applyBorder="1" applyAlignment="1">
      <alignment horizontal="center" vertical="center" wrapText="1"/>
    </xf>
    <xf numFmtId="9" fontId="7" fillId="0" borderId="1" xfId="1" applyFont="1" applyBorder="1" applyAlignment="1">
      <alignment vertical="center" wrapText="1"/>
    </xf>
    <xf numFmtId="0" fontId="0" fillId="0" borderId="0" xfId="0" applyBorder="1"/>
    <xf numFmtId="9" fontId="0" fillId="0" borderId="0" xfId="0" applyNumberFormat="1" applyBorder="1"/>
    <xf numFmtId="0" fontId="7" fillId="0" borderId="0" xfId="0" applyFont="1" applyBorder="1"/>
    <xf numFmtId="9" fontId="7" fillId="0" borderId="1" xfId="0" applyNumberFormat="1" applyFont="1" applyBorder="1" applyAlignment="1">
      <alignment vertical="center" wrapText="1"/>
    </xf>
    <xf numFmtId="9" fontId="7" fillId="0" borderId="1" xfId="0" applyNumberFormat="1" applyFon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7" fillId="0" borderId="0" xfId="0" applyFont="1" applyAlignment="1">
      <alignment horizontal="center"/>
    </xf>
    <xf numFmtId="0" fontId="3" fillId="0" borderId="1" xfId="0" applyFont="1" applyBorder="1" applyAlignment="1">
      <alignment vertical="center" wrapText="1"/>
    </xf>
    <xf numFmtId="3" fontId="0" fillId="0" borderId="1" xfId="0" applyNumberFormat="1" applyBorder="1" applyAlignment="1">
      <alignment vertical="center" wrapText="1"/>
    </xf>
    <xf numFmtId="9" fontId="0" fillId="0" borderId="1" xfId="0" applyNumberFormat="1" applyBorder="1" applyAlignment="1">
      <alignment vertical="center" wrapText="1"/>
    </xf>
    <xf numFmtId="10" fontId="2" fillId="0" borderId="1" xfId="0" applyNumberFormat="1" applyFont="1" applyBorder="1" applyAlignment="1">
      <alignment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2" fillId="0" borderId="1" xfId="0" applyFont="1" applyBorder="1" applyAlignment="1">
      <alignment horizontal="right" vertical="center" wrapText="1"/>
    </xf>
    <xf numFmtId="0" fontId="7" fillId="0" borderId="0" xfId="0" applyFont="1" applyAlignment="1">
      <alignment horizontal="center" wrapText="1"/>
    </xf>
    <xf numFmtId="0" fontId="3" fillId="0" borderId="0" xfId="0" applyFont="1" applyBorder="1" applyAlignment="1">
      <alignment vertical="center" wrapText="1"/>
    </xf>
    <xf numFmtId="3" fontId="0" fillId="0" borderId="0" xfId="0" applyNumberFormat="1" applyBorder="1" applyAlignment="1">
      <alignment vertical="center" wrapText="1"/>
    </xf>
    <xf numFmtId="9" fontId="0" fillId="0" borderId="0" xfId="0" applyNumberFormat="1" applyBorder="1" applyAlignment="1">
      <alignment vertical="center" wrapText="1"/>
    </xf>
    <xf numFmtId="0" fontId="0" fillId="0" borderId="0" xfId="0" applyBorder="1" applyAlignment="1">
      <alignment vertical="center" wrapText="1"/>
    </xf>
    <xf numFmtId="0" fontId="2" fillId="0" borderId="0" xfId="0" applyFont="1" applyBorder="1" applyAlignment="1">
      <alignment horizontal="righ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lotArea>
      <c:layout/>
      <c:doughnutChart>
        <c:varyColors val="1"/>
        <c:ser>
          <c:idx val="0"/>
          <c:order val="0"/>
          <c:tx>
            <c:strRef>
              <c:f>'Part 2 end'!$B$2</c:f>
              <c:strCache>
                <c:ptCount val="1"/>
                <c:pt idx="0">
                  <c:v>Home Decor</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3-F636-4FDE-89E3-092D5210815E}"/>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2-F636-4FDE-89E3-092D5210815E}"/>
              </c:ext>
            </c:extLst>
          </c:dPt>
          <c:dPt>
            <c:idx val="2"/>
            <c:bubble3D val="0"/>
            <c:spPr>
              <a:solidFill>
                <a:schemeClr val="accent2">
                  <a:tint val="86000"/>
                </a:schemeClr>
              </a:solidFill>
              <a:ln w="19050">
                <a:solidFill>
                  <a:schemeClr val="lt1"/>
                </a:solidFill>
              </a:ln>
              <a:effectLst/>
            </c:spPr>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1-F636-4FDE-89E3-092D5210815E}"/>
              </c:ext>
            </c:extLst>
          </c:dPt>
          <c:dLbls>
            <c:dLbl>
              <c:idx val="0"/>
              <c:layout>
                <c:manualLayout>
                  <c:x val="-0.21944444444444444"/>
                  <c:y val="-6.01851851851852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636-4FDE-89E3-092D5210815E}"/>
                </c:ext>
              </c:extLst>
            </c:dLbl>
            <c:dLbl>
              <c:idx val="1"/>
              <c:layout>
                <c:manualLayout>
                  <c:x val="0.23055555555555557"/>
                  <c:y val="6.01851851851851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636-4FDE-89E3-092D5210815E}"/>
                </c:ext>
              </c:extLst>
            </c:dLbl>
            <c:dLbl>
              <c:idx val="3"/>
              <c:layout>
                <c:manualLayout>
                  <c:x val="0.23333333333333323"/>
                  <c:y val="-6.01851851851852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636-4FDE-89E3-092D521081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'Part 2 end'!$A$3:$A$6</c:f>
              <c:strCache>
                <c:ptCount val="4"/>
                <c:pt idx="0">
                  <c:v>% of Sales</c:v>
                </c:pt>
                <c:pt idx="1">
                  <c:v>Other Products %</c:v>
                </c:pt>
                <c:pt idx="2">
                  <c:v>Total Sales</c:v>
                </c:pt>
                <c:pt idx="3">
                  <c:v>Average Age</c:v>
                </c:pt>
              </c:strCache>
            </c:strRef>
          </c:cat>
          <c:val>
            <c:numRef>
              <c:f>'Part 2 end'!$B$3:$B$6</c:f>
              <c:numCache>
                <c:formatCode>0%</c:formatCode>
                <c:ptCount val="4"/>
                <c:pt idx="0">
                  <c:v>0.25317886408589996</c:v>
                </c:pt>
                <c:pt idx="1">
                  <c:v>0.74682113591410004</c:v>
                </c:pt>
                <c:pt idx="2" formatCode="General">
                  <c:v>17920</c:v>
                </c:pt>
                <c:pt idx="3" formatCode="General">
                  <c:v>36.631578947368418</c:v>
                </c:pt>
              </c:numCache>
            </c:numRef>
          </c:val>
          <c:extLst>
            <c:ext xmlns:c16="http://schemas.microsoft.com/office/drawing/2014/chart" uri="{C3380CC4-5D6E-409C-BE32-E72D297353CC}">
              <c16:uniqueId val="{00000000-F636-4FDE-89E3-092D5210815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'Part 3'!$B$1</c:f>
              <c:strCache>
                <c:ptCount val="1"/>
                <c:pt idx="0">
                  <c:v>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'Part 3'!$A$2:$A$4</c:f>
              <c:strCache>
                <c:ptCount val="3"/>
                <c:pt idx="0">
                  <c:v>Electronics</c:v>
                </c:pt>
                <c:pt idx="1">
                  <c:v>Clothing</c:v>
                </c:pt>
                <c:pt idx="2">
                  <c:v>Home Décor</c:v>
                </c:pt>
              </c:strCache>
            </c:strRef>
          </c:cat>
          <c:val>
            <c:numRef>
              <c:f>'Part 3'!$B$2:$B$4</c:f>
              <c:numCache>
                <c:formatCode>General</c:formatCode>
                <c:ptCount val="3"/>
                <c:pt idx="0">
                  <c:v>31260</c:v>
                </c:pt>
                <c:pt idx="1">
                  <c:v>21600</c:v>
                </c:pt>
                <c:pt idx="2">
                  <c:v>17920</c:v>
                </c:pt>
              </c:numCache>
            </c:numRef>
          </c:val>
          <c:smooth val="0"/>
          <c:extLst>
            <c:ext xmlns:c16="http://schemas.microsoft.com/office/drawing/2014/chart" uri="{C3380CC4-5D6E-409C-BE32-E72D297353CC}">
              <c16:uniqueId val="{00000000-AFC4-431E-B160-15309D8F99FA}"/>
            </c:ext>
          </c:extLst>
        </c:ser>
        <c:dLbls>
          <c:showLegendKey val="0"/>
          <c:showVal val="1"/>
          <c:showCatName val="0"/>
          <c:showSerName val="0"/>
          <c:showPercent val="0"/>
          <c:showBubbleSize val="0"/>
        </c:dLbls>
        <c:axId val="1126950112"/>
        <c:axId val="1126954912"/>
        <c:axId val="1840138128"/>
      </c:line3DChart>
      <c:catAx>
        <c:axId val="1126950112"/>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954912"/>
        <c:crosses val="autoZero"/>
        <c:auto val="1"/>
        <c:lblAlgn val="ctr"/>
        <c:lblOffset val="100"/>
        <c:noMultiLvlLbl val="0"/>
      </c:catAx>
      <c:valAx>
        <c:axId val="11269549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950112"/>
        <c:crosses val="autoZero"/>
        <c:crossBetween val="between"/>
      </c:valAx>
      <c:serAx>
        <c:axId val="1840138128"/>
        <c:scaling>
          <c:orientation val="minMax"/>
        </c:scaling>
        <c:delete val="1"/>
        <c:axPos val="b"/>
        <c:majorTickMark val="out"/>
        <c:minorTickMark val="none"/>
        <c:tickLblPos val="nextTo"/>
        <c:crossAx val="11269549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76200</xdr:colOff>
      <xdr:row>3</xdr:row>
      <xdr:rowOff>262890</xdr:rowOff>
    </xdr:from>
    <xdr:to>
      <xdr:col>10</xdr:col>
      <xdr:colOff>381000</xdr:colOff>
      <xdr:row>16</xdr:row>
      <xdr:rowOff>179070</xdr:rowOff>
    </xdr:to>
    <xdr:graphicFrame macro="">
      <xdr:nvGraphicFramePr>
        <xdr:cNvPr id="3" name="Chart 2">
          <a:extLst>
            <a:ext uri="{FF2B5EF4-FFF2-40B4-BE49-F238E27FC236}">
              <a16:creationId xmlns:a16="http://schemas.microsoft.com/office/drawing/2014/main" id="{09C8639A-8F05-DA92-D266-AAD17E80A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518160</xdr:colOff>
      <xdr:row>3</xdr:row>
      <xdr:rowOff>194310</xdr:rowOff>
    </xdr:from>
    <xdr:to>
      <xdr:col>11</xdr:col>
      <xdr:colOff>586740</xdr:colOff>
      <xdr:row>22</xdr:row>
      <xdr:rowOff>45720</xdr:rowOff>
    </xdr:to>
    <xdr:graphicFrame macro="">
      <xdr:nvGraphicFramePr>
        <xdr:cNvPr id="3" name="Chart 2">
          <a:extLst>
            <a:ext uri="{FF2B5EF4-FFF2-40B4-BE49-F238E27FC236}">
              <a16:creationId xmlns:a16="http://schemas.microsoft.com/office/drawing/2014/main" id="{567504C4-D59F-1A8F-DE88-787EEA1CE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106680</xdr:colOff>
      <xdr:row>1</xdr:row>
      <xdr:rowOff>38100</xdr:rowOff>
    </xdr:from>
    <xdr:to>
      <xdr:col>7</xdr:col>
      <xdr:colOff>716280</xdr:colOff>
      <xdr:row>15</xdr:row>
      <xdr:rowOff>59055</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D985D2F4-1944-847C-84CD-E7F139959E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554980" y="2209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449580</xdr:colOff>
      <xdr:row>1</xdr:row>
      <xdr:rowOff>15240</xdr:rowOff>
    </xdr:from>
    <xdr:to>
      <xdr:col>11</xdr:col>
      <xdr:colOff>449580</xdr:colOff>
      <xdr:row>15</xdr:row>
      <xdr:rowOff>36195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2690EA9C-56B6-6D25-71FF-9622422940B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029700" y="1981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190500</xdr:colOff>
      <xdr:row>0</xdr:row>
      <xdr:rowOff>152400</xdr:rowOff>
    </xdr:from>
    <xdr:to>
      <xdr:col>15</xdr:col>
      <xdr:colOff>190500</xdr:colOff>
      <xdr:row>14</xdr:row>
      <xdr:rowOff>173355</xdr:rowOff>
    </xdr:to>
    <mc:AlternateContent xmlns:mc="http://schemas.openxmlformats.org/markup-compatibility/2006">
      <mc:Choice xmlns:a14="http://schemas.microsoft.com/office/drawing/2010/main" Requires="a14">
        <xdr:graphicFrame macro="">
          <xdr:nvGraphicFramePr>
            <xdr:cNvPr id="4" name="Product Category">
              <a:extLst>
                <a:ext uri="{FF2B5EF4-FFF2-40B4-BE49-F238E27FC236}">
                  <a16:creationId xmlns:a16="http://schemas.microsoft.com/office/drawing/2014/main" id="{AB3C573B-BF42-96A4-B072-8C2123A60E4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209020" y="1524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4.015457291665" createdVersion="8" refreshedVersion="8" minRefreshableVersion="3" recordCount="60" xr:uid="{247A062E-BDA7-44C7-8E12-28E87087DED4}">
  <cacheSource type="worksheet">
    <worksheetSource ref="A1:F61" sheet="Part 4 "/>
  </cacheSource>
  <cacheFields count="6">
    <cacheField name="Customer ID" numFmtId="0">
      <sharedItems containsSemiMixedTypes="0" containsString="0" containsNumber="1" containsInteger="1" minValue="1" maxValue="60"/>
    </cacheField>
    <cacheField name="Age" numFmtId="0">
      <sharedItems containsSemiMixedTypes="0" containsString="0" containsNumber="1" containsInteger="1" minValue="18" maxValue="57"/>
    </cacheField>
    <cacheField name="Gender" numFmtId="0">
      <sharedItems count="2">
        <s v="Female"/>
        <s v="Male"/>
      </sharedItems>
    </cacheField>
    <cacheField name="City" numFmtId="0">
      <sharedItems count="10">
        <s v="New York"/>
        <s v="Los Angeles"/>
        <s v="Chicago"/>
        <s v="Houston"/>
        <s v="San Francisco"/>
        <s v="Miami"/>
        <s v="Dallas"/>
        <s v="Seattle"/>
        <s v="Boston"/>
        <s v="Atlanta"/>
      </sharedItems>
    </cacheField>
    <cacheField name="Purchase History" numFmtId="0">
      <sharedItems containsSemiMixedTypes="0" containsString="0" containsNumber="1" containsInteger="1" minValue="80" maxValue="3500"/>
    </cacheField>
    <cacheField name="Product Category" numFmtId="0">
      <sharedItems count="3">
        <s v="Electronics"/>
        <s v="Clothing"/>
        <s v="Home Decor"/>
      </sharedItems>
    </cacheField>
  </cacheFields>
  <extLst>
    <ext xmlns:x14="http://schemas.microsoft.com/office/spreadsheetml/2009/9/main" uri="{725AE2AE-9491-48be-B2B4-4EB974FC3084}">
      <x14:pivotCacheDefinition pivotCacheId="960932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
    <n v="28"/>
    <x v="0"/>
    <x v="0"/>
    <n v="1500"/>
    <x v="0"/>
  </r>
  <r>
    <n v="2"/>
    <n v="35"/>
    <x v="1"/>
    <x v="1"/>
    <n v="2000"/>
    <x v="1"/>
  </r>
  <r>
    <n v="3"/>
    <n v="42"/>
    <x v="0"/>
    <x v="2"/>
    <n v="500"/>
    <x v="2"/>
  </r>
  <r>
    <n v="4"/>
    <n v="19"/>
    <x v="1"/>
    <x v="3"/>
    <n v="100"/>
    <x v="0"/>
  </r>
  <r>
    <n v="5"/>
    <n v="56"/>
    <x v="1"/>
    <x v="4"/>
    <n v="3000"/>
    <x v="0"/>
  </r>
  <r>
    <n v="6"/>
    <n v="41"/>
    <x v="0"/>
    <x v="5"/>
    <n v="1200"/>
    <x v="1"/>
  </r>
  <r>
    <n v="7"/>
    <n v="33"/>
    <x v="1"/>
    <x v="6"/>
    <n v="800"/>
    <x v="0"/>
  </r>
  <r>
    <n v="8"/>
    <n v="24"/>
    <x v="0"/>
    <x v="7"/>
    <n v="250"/>
    <x v="2"/>
  </r>
  <r>
    <n v="9"/>
    <n v="29"/>
    <x v="1"/>
    <x v="8"/>
    <n v="700"/>
    <x v="1"/>
  </r>
  <r>
    <n v="10"/>
    <n v="45"/>
    <x v="0"/>
    <x v="9"/>
    <n v="1800"/>
    <x v="2"/>
  </r>
  <r>
    <n v="11"/>
    <n v="31"/>
    <x v="0"/>
    <x v="0"/>
    <n v="900"/>
    <x v="0"/>
  </r>
  <r>
    <n v="12"/>
    <n v="39"/>
    <x v="1"/>
    <x v="1"/>
    <n v="1500"/>
    <x v="1"/>
  </r>
  <r>
    <n v="13"/>
    <n v="37"/>
    <x v="0"/>
    <x v="2"/>
    <n v="600"/>
    <x v="2"/>
  </r>
  <r>
    <n v="14"/>
    <n v="22"/>
    <x v="1"/>
    <x v="3"/>
    <n v="200"/>
    <x v="0"/>
  </r>
  <r>
    <n v="15"/>
    <n v="44"/>
    <x v="1"/>
    <x v="4"/>
    <n v="2500"/>
    <x v="0"/>
  </r>
  <r>
    <n v="16"/>
    <n v="27"/>
    <x v="0"/>
    <x v="5"/>
    <n v="1100"/>
    <x v="1"/>
  </r>
  <r>
    <n v="17"/>
    <n v="30"/>
    <x v="1"/>
    <x v="6"/>
    <n v="1200"/>
    <x v="0"/>
  </r>
  <r>
    <n v="18"/>
    <n v="26"/>
    <x v="0"/>
    <x v="7"/>
    <n v="350"/>
    <x v="2"/>
  </r>
  <r>
    <n v="19"/>
    <n v="34"/>
    <x v="1"/>
    <x v="8"/>
    <n v="800"/>
    <x v="1"/>
  </r>
  <r>
    <n v="20"/>
    <n v="48"/>
    <x v="0"/>
    <x v="9"/>
    <n v="2000"/>
    <x v="2"/>
  </r>
  <r>
    <n v="21"/>
    <n v="39"/>
    <x v="1"/>
    <x v="0"/>
    <n v="800"/>
    <x v="0"/>
  </r>
  <r>
    <n v="22"/>
    <n v="28"/>
    <x v="0"/>
    <x v="1"/>
    <n v="1200"/>
    <x v="1"/>
  </r>
  <r>
    <n v="23"/>
    <n v="43"/>
    <x v="0"/>
    <x v="2"/>
    <n v="700"/>
    <x v="2"/>
  </r>
  <r>
    <n v="24"/>
    <n v="21"/>
    <x v="1"/>
    <x v="3"/>
    <n v="150"/>
    <x v="0"/>
  </r>
  <r>
    <n v="25"/>
    <n v="55"/>
    <x v="1"/>
    <x v="4"/>
    <n v="2800"/>
    <x v="0"/>
  </r>
  <r>
    <n v="26"/>
    <n v="40"/>
    <x v="0"/>
    <x v="5"/>
    <n v="1300"/>
    <x v="1"/>
  </r>
  <r>
    <n v="27"/>
    <n v="32"/>
    <x v="1"/>
    <x v="6"/>
    <n v="900"/>
    <x v="0"/>
  </r>
  <r>
    <n v="28"/>
    <n v="23"/>
    <x v="0"/>
    <x v="7"/>
    <n v="300"/>
    <x v="2"/>
  </r>
  <r>
    <n v="29"/>
    <n v="27"/>
    <x v="1"/>
    <x v="8"/>
    <n v="600"/>
    <x v="1"/>
  </r>
  <r>
    <n v="30"/>
    <n v="46"/>
    <x v="0"/>
    <x v="9"/>
    <n v="1700"/>
    <x v="2"/>
  </r>
  <r>
    <n v="31"/>
    <n v="36"/>
    <x v="0"/>
    <x v="0"/>
    <n v="1400"/>
    <x v="0"/>
  </r>
  <r>
    <n v="32"/>
    <n v="38"/>
    <x v="1"/>
    <x v="1"/>
    <n v="1800"/>
    <x v="1"/>
  </r>
  <r>
    <n v="33"/>
    <n v="41"/>
    <x v="0"/>
    <x v="2"/>
    <n v="900"/>
    <x v="2"/>
  </r>
  <r>
    <n v="34"/>
    <n v="20"/>
    <x v="1"/>
    <x v="3"/>
    <n v="120"/>
    <x v="2"/>
  </r>
  <r>
    <n v="35"/>
    <n v="57"/>
    <x v="1"/>
    <x v="4"/>
    <n v="3200"/>
    <x v="0"/>
  </r>
  <r>
    <n v="36"/>
    <n v="43"/>
    <x v="0"/>
    <x v="5"/>
    <n v="1400"/>
    <x v="1"/>
  </r>
  <r>
    <n v="37"/>
    <n v="34"/>
    <x v="1"/>
    <x v="6"/>
    <n v="1000"/>
    <x v="0"/>
  </r>
  <r>
    <n v="38"/>
    <n v="25"/>
    <x v="0"/>
    <x v="7"/>
    <n v="400"/>
    <x v="2"/>
  </r>
  <r>
    <n v="39"/>
    <n v="33"/>
    <x v="1"/>
    <x v="8"/>
    <n v="750"/>
    <x v="1"/>
  </r>
  <r>
    <n v="40"/>
    <n v="47"/>
    <x v="0"/>
    <x v="9"/>
    <n v="1900"/>
    <x v="2"/>
  </r>
  <r>
    <n v="41"/>
    <n v="30"/>
    <x v="1"/>
    <x v="0"/>
    <n v="950"/>
    <x v="0"/>
  </r>
  <r>
    <n v="42"/>
    <n v="29"/>
    <x v="0"/>
    <x v="1"/>
    <n v="1100"/>
    <x v="1"/>
  </r>
  <r>
    <n v="43"/>
    <n v="44"/>
    <x v="0"/>
    <x v="2"/>
    <n v="650"/>
    <x v="2"/>
  </r>
  <r>
    <n v="44"/>
    <n v="23"/>
    <x v="1"/>
    <x v="3"/>
    <n v="180"/>
    <x v="0"/>
  </r>
  <r>
    <n v="45"/>
    <n v="54"/>
    <x v="1"/>
    <x v="4"/>
    <n v="2700"/>
    <x v="0"/>
  </r>
  <r>
    <n v="46"/>
    <n v="42"/>
    <x v="0"/>
    <x v="5"/>
    <n v="1250"/>
    <x v="1"/>
  </r>
  <r>
    <n v="47"/>
    <n v="31"/>
    <x v="1"/>
    <x v="6"/>
    <n v="850"/>
    <x v="0"/>
  </r>
  <r>
    <n v="48"/>
    <n v="22"/>
    <x v="0"/>
    <x v="7"/>
    <n v="320"/>
    <x v="2"/>
  </r>
  <r>
    <n v="49"/>
    <n v="28"/>
    <x v="1"/>
    <x v="8"/>
    <n v="650"/>
    <x v="1"/>
  </r>
  <r>
    <n v="50"/>
    <n v="49"/>
    <x v="0"/>
    <x v="9"/>
    <n v="2100"/>
    <x v="2"/>
  </r>
  <r>
    <n v="51"/>
    <n v="35"/>
    <x v="0"/>
    <x v="0"/>
    <n v="1600"/>
    <x v="0"/>
  </r>
  <r>
    <n v="52"/>
    <n v="37"/>
    <x v="1"/>
    <x v="1"/>
    <n v="2200"/>
    <x v="1"/>
  </r>
  <r>
    <n v="53"/>
    <n v="40"/>
    <x v="0"/>
    <x v="2"/>
    <n v="750"/>
    <x v="2"/>
  </r>
  <r>
    <n v="54"/>
    <n v="18"/>
    <x v="1"/>
    <x v="3"/>
    <n v="80"/>
    <x v="0"/>
  </r>
  <r>
    <n v="55"/>
    <n v="53"/>
    <x v="1"/>
    <x v="4"/>
    <n v="3500"/>
    <x v="0"/>
  </r>
  <r>
    <n v="56"/>
    <n v="39"/>
    <x v="0"/>
    <x v="5"/>
    <n v="1400"/>
    <x v="1"/>
  </r>
  <r>
    <n v="57"/>
    <n v="32"/>
    <x v="1"/>
    <x v="6"/>
    <n v="950"/>
    <x v="0"/>
  </r>
  <r>
    <n v="58"/>
    <n v="24"/>
    <x v="0"/>
    <x v="7"/>
    <n v="280"/>
    <x v="2"/>
  </r>
  <r>
    <n v="59"/>
    <n v="31"/>
    <x v="1"/>
    <x v="8"/>
    <n v="650"/>
    <x v="1"/>
  </r>
  <r>
    <n v="60"/>
    <n v="50"/>
    <x v="0"/>
    <x v="9"/>
    <n v="23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B63882-0031-4F33-866C-D79CD846B536}"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1" firstDataRow="2" firstDataCol="1"/>
  <pivotFields count="6">
    <pivotField showAll="0"/>
    <pivotField showAll="0"/>
    <pivotField axis="axisCol" showAll="0">
      <items count="3">
        <item h="1" x="0"/>
        <item x="1"/>
        <item t="default"/>
      </items>
    </pivotField>
    <pivotField showAll="0">
      <items count="11">
        <item x="9"/>
        <item x="8"/>
        <item x="2"/>
        <item x="6"/>
        <item x="3"/>
        <item x="1"/>
        <item x="5"/>
        <item x="0"/>
        <item x="4"/>
        <item x="7"/>
        <item t="default"/>
      </items>
    </pivotField>
    <pivotField dataField="1" showAll="0"/>
    <pivotField axis="axisRow" showAll="0">
      <items count="4">
        <item x="1"/>
        <item x="0"/>
        <item x="2"/>
        <item t="default"/>
      </items>
    </pivotField>
  </pivotFields>
  <rowFields count="1">
    <field x="5"/>
  </rowFields>
  <rowItems count="4">
    <i>
      <x/>
    </i>
    <i>
      <x v="1"/>
    </i>
    <i>
      <x v="2"/>
    </i>
    <i t="grand">
      <x/>
    </i>
  </rowItems>
  <colFields count="1">
    <field x="2"/>
  </colFields>
  <colItems count="2">
    <i>
      <x v="1"/>
    </i>
    <i t="grand">
      <x/>
    </i>
  </colItems>
  <dataFields count="1">
    <dataField name="Sum of Purchase Histor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D43CF52-2549-4B07-90E3-243EF0C33F5B}" sourceName="Gender">
  <pivotTables>
    <pivotTable tabId="16" name="PivotTable7"/>
  </pivotTables>
  <data>
    <tabular pivotCacheId="96093202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A0635C9-B0F0-4FDF-AA35-486D429B7EAB}" sourceName="City">
  <pivotTables>
    <pivotTable tabId="16" name="PivotTable7"/>
  </pivotTables>
  <data>
    <tabular pivotCacheId="960932027">
      <items count="10">
        <i x="8" s="1"/>
        <i x="6" s="1"/>
        <i x="3" s="1"/>
        <i x="1" s="1"/>
        <i x="0" s="1"/>
        <i x="4" s="1"/>
        <i x="9" s="1" nd="1"/>
        <i x="2" s="1" nd="1"/>
        <i x="5" s="1" nd="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1473C97-3A80-4688-B064-DF6FD41BD582}" sourceName="Product Category">
  <pivotTables>
    <pivotTable tabId="16" name="PivotTable7"/>
  </pivotTables>
  <data>
    <tabular pivotCacheId="96093202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BDFF4C2-3AD4-4E02-913C-5ED9D5FDC042}" cache="Slicer_Gender" caption="Gender" rowHeight="247650"/>
  <slicer name="City" xr10:uid="{171B4ED0-820F-44DF-BA8A-8940D586B952}" cache="Slicer_City" caption="City" startItem="3" rowHeight="247650"/>
  <slicer name="Product Category" xr10:uid="{CFA43D61-A24B-4444-B695-0FB5E3AEAA47}" cache="Slicer_Product_Category" caption="Product 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01761-2B8A-4EB4-87BA-D50A424C3284}">
  <sheetPr codeName="Sheet1"/>
  <dimension ref="A1:J61"/>
  <sheetViews>
    <sheetView workbookViewId="0">
      <selection sqref="A1:F61"/>
    </sheetView>
  </sheetViews>
  <sheetFormatPr defaultRowHeight="14.4" x14ac:dyDescent="0.3"/>
  <cols>
    <col min="1" max="1" width="17.88671875" customWidth="1"/>
    <col min="2" max="3" width="17.77734375" customWidth="1"/>
    <col min="4" max="4" width="17.44140625" customWidth="1"/>
    <col min="5" max="5" width="17.6640625" customWidth="1"/>
    <col min="6" max="6" width="18" customWidth="1"/>
    <col min="7" max="7" width="8.88671875" customWidth="1"/>
    <col min="8" max="8" width="16.44140625" customWidth="1"/>
    <col min="9" max="9" width="19.6640625" customWidth="1"/>
    <col min="10" max="10" width="17.33203125" customWidth="1"/>
  </cols>
  <sheetData>
    <row r="1" spans="1:10" ht="34.799999999999997" x14ac:dyDescent="0.3">
      <c r="A1" s="2" t="s">
        <v>0</v>
      </c>
      <c r="B1" s="2" t="s">
        <v>1</v>
      </c>
      <c r="C1" s="2" t="s">
        <v>2</v>
      </c>
      <c r="D1" s="2" t="s">
        <v>3</v>
      </c>
      <c r="E1" s="2" t="s">
        <v>4</v>
      </c>
      <c r="F1" s="2" t="s">
        <v>5</v>
      </c>
      <c r="H1" s="8" t="s">
        <v>26</v>
      </c>
      <c r="I1" s="8" t="s">
        <v>29</v>
      </c>
      <c r="J1" s="3"/>
    </row>
    <row r="2" spans="1:10" ht="25.8" customHeight="1" x14ac:dyDescent="0.3">
      <c r="A2" s="1">
        <v>1</v>
      </c>
      <c r="B2" s="1">
        <v>28</v>
      </c>
      <c r="C2" s="1" t="s">
        <v>6</v>
      </c>
      <c r="D2" s="1" t="s">
        <v>7</v>
      </c>
      <c r="E2" s="1">
        <v>1500</v>
      </c>
      <c r="F2" s="1" t="s">
        <v>8</v>
      </c>
      <c r="H2" s="5" t="s">
        <v>27</v>
      </c>
      <c r="I2" s="7">
        <f>AVERAGE(E2:E61)</f>
        <v>1179.6666666666667</v>
      </c>
      <c r="J2" s="3"/>
    </row>
    <row r="3" spans="1:10" ht="22.2" customHeight="1" x14ac:dyDescent="0.3">
      <c r="A3" s="1">
        <v>2</v>
      </c>
      <c r="B3" s="1">
        <v>35</v>
      </c>
      <c r="C3" s="1" t="s">
        <v>9</v>
      </c>
      <c r="D3" s="1" t="s">
        <v>10</v>
      </c>
      <c r="E3" s="1">
        <v>2000</v>
      </c>
      <c r="F3" s="1" t="s">
        <v>11</v>
      </c>
      <c r="H3" s="5" t="s">
        <v>28</v>
      </c>
      <c r="I3" s="7">
        <f>MEDIAN(E2:E61)</f>
        <v>950</v>
      </c>
      <c r="J3" s="3"/>
    </row>
    <row r="4" spans="1:10" ht="24.6" customHeight="1" x14ac:dyDescent="0.3">
      <c r="A4" s="1">
        <v>3</v>
      </c>
      <c r="B4" s="1">
        <v>42</v>
      </c>
      <c r="C4" s="1" t="s">
        <v>6</v>
      </c>
      <c r="D4" s="1" t="s">
        <v>12</v>
      </c>
      <c r="E4" s="1">
        <v>500</v>
      </c>
      <c r="F4" s="1" t="s">
        <v>13</v>
      </c>
      <c r="H4" s="5" t="s">
        <v>25</v>
      </c>
      <c r="I4" s="7">
        <f>_xlfn.MODE.SNGL(E2:E61)</f>
        <v>1200</v>
      </c>
      <c r="J4" s="3"/>
    </row>
    <row r="5" spans="1:10" ht="18" x14ac:dyDescent="0.3">
      <c r="A5" s="1">
        <v>4</v>
      </c>
      <c r="B5" s="1">
        <v>19</v>
      </c>
      <c r="C5" s="1" t="s">
        <v>9</v>
      </c>
      <c r="D5" s="1" t="s">
        <v>14</v>
      </c>
      <c r="E5" s="1">
        <v>100</v>
      </c>
      <c r="F5" s="1" t="s">
        <v>8</v>
      </c>
    </row>
    <row r="6" spans="1:10" ht="18" x14ac:dyDescent="0.3">
      <c r="A6" s="1">
        <v>5</v>
      </c>
      <c r="B6" s="1">
        <v>56</v>
      </c>
      <c r="C6" s="1" t="s">
        <v>9</v>
      </c>
      <c r="D6" s="1" t="s">
        <v>15</v>
      </c>
      <c r="E6" s="1">
        <v>3000</v>
      </c>
      <c r="F6" s="1" t="s">
        <v>8</v>
      </c>
    </row>
    <row r="7" spans="1:10" ht="18" x14ac:dyDescent="0.3">
      <c r="A7" s="1">
        <v>6</v>
      </c>
      <c r="B7" s="1">
        <v>41</v>
      </c>
      <c r="C7" s="1" t="s">
        <v>6</v>
      </c>
      <c r="D7" s="1" t="s">
        <v>16</v>
      </c>
      <c r="E7" s="1">
        <v>1200</v>
      </c>
      <c r="F7" s="1" t="s">
        <v>11</v>
      </c>
    </row>
    <row r="8" spans="1:10" ht="18" x14ac:dyDescent="0.3">
      <c r="A8" s="1">
        <v>7</v>
      </c>
      <c r="B8" s="1">
        <v>33</v>
      </c>
      <c r="C8" s="1" t="s">
        <v>9</v>
      </c>
      <c r="D8" s="1" t="s">
        <v>17</v>
      </c>
      <c r="E8" s="1">
        <v>800</v>
      </c>
      <c r="F8" s="1" t="s">
        <v>8</v>
      </c>
    </row>
    <row r="9" spans="1:10" ht="18" x14ac:dyDescent="0.3">
      <c r="A9" s="1">
        <v>8</v>
      </c>
      <c r="B9" s="1">
        <v>24</v>
      </c>
      <c r="C9" s="1" t="s">
        <v>6</v>
      </c>
      <c r="D9" s="1" t="s">
        <v>18</v>
      </c>
      <c r="E9" s="1">
        <v>250</v>
      </c>
      <c r="F9" s="1" t="s">
        <v>13</v>
      </c>
    </row>
    <row r="10" spans="1:10" ht="18" x14ac:dyDescent="0.3">
      <c r="A10" s="1">
        <v>9</v>
      </c>
      <c r="B10" s="1">
        <v>29</v>
      </c>
      <c r="C10" s="1" t="s">
        <v>9</v>
      </c>
      <c r="D10" s="1" t="s">
        <v>19</v>
      </c>
      <c r="E10" s="1">
        <v>700</v>
      </c>
      <c r="F10" s="1" t="s">
        <v>11</v>
      </c>
    </row>
    <row r="11" spans="1:10" ht="18" x14ac:dyDescent="0.3">
      <c r="A11" s="1">
        <v>10</v>
      </c>
      <c r="B11" s="1">
        <v>45</v>
      </c>
      <c r="C11" s="1" t="s">
        <v>6</v>
      </c>
      <c r="D11" s="1" t="s">
        <v>20</v>
      </c>
      <c r="E11" s="1">
        <v>1800</v>
      </c>
      <c r="F11" s="1" t="s">
        <v>13</v>
      </c>
    </row>
    <row r="12" spans="1:10" ht="18" x14ac:dyDescent="0.3">
      <c r="A12" s="1">
        <v>11</v>
      </c>
      <c r="B12" s="1">
        <v>31</v>
      </c>
      <c r="C12" s="1" t="s">
        <v>6</v>
      </c>
      <c r="D12" s="1" t="s">
        <v>7</v>
      </c>
      <c r="E12" s="1">
        <v>900</v>
      </c>
      <c r="F12" s="1" t="s">
        <v>8</v>
      </c>
    </row>
    <row r="13" spans="1:10" ht="18" x14ac:dyDescent="0.3">
      <c r="A13" s="1">
        <v>12</v>
      </c>
      <c r="B13" s="1">
        <v>39</v>
      </c>
      <c r="C13" s="1" t="s">
        <v>9</v>
      </c>
      <c r="D13" s="1" t="s">
        <v>10</v>
      </c>
      <c r="E13" s="1">
        <v>1500</v>
      </c>
      <c r="F13" s="1" t="s">
        <v>11</v>
      </c>
    </row>
    <row r="14" spans="1:10" ht="18" x14ac:dyDescent="0.3">
      <c r="A14" s="1">
        <v>13</v>
      </c>
      <c r="B14" s="1">
        <v>37</v>
      </c>
      <c r="C14" s="1" t="s">
        <v>6</v>
      </c>
      <c r="D14" s="1" t="s">
        <v>12</v>
      </c>
      <c r="E14" s="1">
        <v>600</v>
      </c>
      <c r="F14" s="1" t="s">
        <v>13</v>
      </c>
    </row>
    <row r="15" spans="1:10" ht="18" x14ac:dyDescent="0.3">
      <c r="A15" s="1">
        <v>14</v>
      </c>
      <c r="B15" s="1">
        <v>22</v>
      </c>
      <c r="C15" s="1" t="s">
        <v>9</v>
      </c>
      <c r="D15" s="1" t="s">
        <v>14</v>
      </c>
      <c r="E15" s="1">
        <v>200</v>
      </c>
      <c r="F15" s="1" t="s">
        <v>8</v>
      </c>
    </row>
    <row r="16" spans="1:10" ht="18" x14ac:dyDescent="0.3">
      <c r="A16" s="1">
        <v>15</v>
      </c>
      <c r="B16" s="1">
        <v>44</v>
      </c>
      <c r="C16" s="1" t="s">
        <v>9</v>
      </c>
      <c r="D16" s="1" t="s">
        <v>15</v>
      </c>
      <c r="E16" s="1">
        <v>2500</v>
      </c>
      <c r="F16" s="1" t="s">
        <v>8</v>
      </c>
    </row>
    <row r="17" spans="1:6" ht="18" x14ac:dyDescent="0.3">
      <c r="A17" s="1">
        <v>16</v>
      </c>
      <c r="B17" s="1">
        <v>27</v>
      </c>
      <c r="C17" s="1" t="s">
        <v>6</v>
      </c>
      <c r="D17" s="1" t="s">
        <v>16</v>
      </c>
      <c r="E17" s="1">
        <v>1100</v>
      </c>
      <c r="F17" s="1" t="s">
        <v>11</v>
      </c>
    </row>
    <row r="18" spans="1:6" ht="18" x14ac:dyDescent="0.3">
      <c r="A18" s="1">
        <v>17</v>
      </c>
      <c r="B18" s="1">
        <v>30</v>
      </c>
      <c r="C18" s="1" t="s">
        <v>9</v>
      </c>
      <c r="D18" s="1" t="s">
        <v>17</v>
      </c>
      <c r="E18" s="1">
        <v>1200</v>
      </c>
      <c r="F18" s="1" t="s">
        <v>8</v>
      </c>
    </row>
    <row r="19" spans="1:6" ht="18" x14ac:dyDescent="0.3">
      <c r="A19" s="1">
        <v>18</v>
      </c>
      <c r="B19" s="1">
        <v>26</v>
      </c>
      <c r="C19" s="1" t="s">
        <v>6</v>
      </c>
      <c r="D19" s="1" t="s">
        <v>18</v>
      </c>
      <c r="E19" s="1">
        <v>350</v>
      </c>
      <c r="F19" s="1" t="s">
        <v>13</v>
      </c>
    </row>
    <row r="20" spans="1:6" ht="18" x14ac:dyDescent="0.3">
      <c r="A20" s="1">
        <v>19</v>
      </c>
      <c r="B20" s="1">
        <v>34</v>
      </c>
      <c r="C20" s="1" t="s">
        <v>9</v>
      </c>
      <c r="D20" s="1" t="s">
        <v>19</v>
      </c>
      <c r="E20" s="1">
        <v>800</v>
      </c>
      <c r="F20" s="1" t="s">
        <v>11</v>
      </c>
    </row>
    <row r="21" spans="1:6" ht="18" x14ac:dyDescent="0.3">
      <c r="A21" s="1">
        <v>20</v>
      </c>
      <c r="B21" s="1">
        <v>48</v>
      </c>
      <c r="C21" s="1" t="s">
        <v>6</v>
      </c>
      <c r="D21" s="1" t="s">
        <v>20</v>
      </c>
      <c r="E21" s="1">
        <v>2000</v>
      </c>
      <c r="F21" s="1" t="s">
        <v>13</v>
      </c>
    </row>
    <row r="22" spans="1:6" ht="18" x14ac:dyDescent="0.3">
      <c r="A22" s="1">
        <v>21</v>
      </c>
      <c r="B22" s="1">
        <v>39</v>
      </c>
      <c r="C22" s="1" t="s">
        <v>9</v>
      </c>
      <c r="D22" s="1" t="s">
        <v>7</v>
      </c>
      <c r="E22" s="1">
        <v>800</v>
      </c>
      <c r="F22" s="1" t="s">
        <v>8</v>
      </c>
    </row>
    <row r="23" spans="1:6" ht="18" x14ac:dyDescent="0.3">
      <c r="A23" s="1">
        <v>22</v>
      </c>
      <c r="B23" s="1">
        <v>28</v>
      </c>
      <c r="C23" s="1" t="s">
        <v>6</v>
      </c>
      <c r="D23" s="1" t="s">
        <v>10</v>
      </c>
      <c r="E23" s="1">
        <v>1200</v>
      </c>
      <c r="F23" s="1" t="s">
        <v>11</v>
      </c>
    </row>
    <row r="24" spans="1:6" ht="18" x14ac:dyDescent="0.3">
      <c r="A24" s="1">
        <v>23</v>
      </c>
      <c r="B24" s="1">
        <v>43</v>
      </c>
      <c r="C24" s="1" t="s">
        <v>6</v>
      </c>
      <c r="D24" s="1" t="s">
        <v>12</v>
      </c>
      <c r="E24" s="1">
        <v>700</v>
      </c>
      <c r="F24" s="1" t="s">
        <v>13</v>
      </c>
    </row>
    <row r="25" spans="1:6" ht="18" x14ac:dyDescent="0.3">
      <c r="A25" s="1">
        <v>24</v>
      </c>
      <c r="B25" s="1">
        <v>21</v>
      </c>
      <c r="C25" s="1" t="s">
        <v>9</v>
      </c>
      <c r="D25" s="1" t="s">
        <v>14</v>
      </c>
      <c r="E25" s="1">
        <v>150</v>
      </c>
      <c r="F25" s="1" t="s">
        <v>8</v>
      </c>
    </row>
    <row r="26" spans="1:6" ht="18" x14ac:dyDescent="0.3">
      <c r="A26" s="1">
        <v>25</v>
      </c>
      <c r="B26" s="1">
        <v>55</v>
      </c>
      <c r="C26" s="1" t="s">
        <v>9</v>
      </c>
      <c r="D26" s="1" t="s">
        <v>15</v>
      </c>
      <c r="E26" s="1">
        <v>2800</v>
      </c>
      <c r="F26" s="1" t="s">
        <v>8</v>
      </c>
    </row>
    <row r="27" spans="1:6" ht="18" x14ac:dyDescent="0.3">
      <c r="A27" s="1">
        <v>26</v>
      </c>
      <c r="B27" s="1">
        <v>40</v>
      </c>
      <c r="C27" s="1" t="s">
        <v>6</v>
      </c>
      <c r="D27" s="1" t="s">
        <v>16</v>
      </c>
      <c r="E27" s="1">
        <v>1300</v>
      </c>
      <c r="F27" s="1" t="s">
        <v>11</v>
      </c>
    </row>
    <row r="28" spans="1:6" ht="18" x14ac:dyDescent="0.3">
      <c r="A28" s="1">
        <v>27</v>
      </c>
      <c r="B28" s="1">
        <v>32</v>
      </c>
      <c r="C28" s="1" t="s">
        <v>9</v>
      </c>
      <c r="D28" s="1" t="s">
        <v>17</v>
      </c>
      <c r="E28" s="1">
        <v>900</v>
      </c>
      <c r="F28" s="1" t="s">
        <v>8</v>
      </c>
    </row>
    <row r="29" spans="1:6" ht="18" x14ac:dyDescent="0.3">
      <c r="A29" s="1">
        <v>28</v>
      </c>
      <c r="B29" s="1">
        <v>23</v>
      </c>
      <c r="C29" s="1" t="s">
        <v>6</v>
      </c>
      <c r="D29" s="1" t="s">
        <v>18</v>
      </c>
      <c r="E29" s="1">
        <v>300</v>
      </c>
      <c r="F29" s="1" t="s">
        <v>13</v>
      </c>
    </row>
    <row r="30" spans="1:6" ht="18" x14ac:dyDescent="0.3">
      <c r="A30" s="1">
        <v>29</v>
      </c>
      <c r="B30" s="1">
        <v>27</v>
      </c>
      <c r="C30" s="1" t="s">
        <v>9</v>
      </c>
      <c r="D30" s="1" t="s">
        <v>19</v>
      </c>
      <c r="E30" s="1">
        <v>600</v>
      </c>
      <c r="F30" s="1" t="s">
        <v>11</v>
      </c>
    </row>
    <row r="31" spans="1:6" ht="18" x14ac:dyDescent="0.3">
      <c r="A31" s="1">
        <v>30</v>
      </c>
      <c r="B31" s="1">
        <v>46</v>
      </c>
      <c r="C31" s="1" t="s">
        <v>6</v>
      </c>
      <c r="D31" s="1" t="s">
        <v>20</v>
      </c>
      <c r="E31" s="1">
        <v>1700</v>
      </c>
      <c r="F31" s="1" t="s">
        <v>13</v>
      </c>
    </row>
    <row r="32" spans="1:6" ht="18" x14ac:dyDescent="0.3">
      <c r="A32" s="1">
        <v>31</v>
      </c>
      <c r="B32" s="1">
        <v>36</v>
      </c>
      <c r="C32" s="1" t="s">
        <v>6</v>
      </c>
      <c r="D32" s="1" t="s">
        <v>7</v>
      </c>
      <c r="E32" s="1">
        <v>1400</v>
      </c>
      <c r="F32" s="1" t="s">
        <v>8</v>
      </c>
    </row>
    <row r="33" spans="1:6" ht="18" x14ac:dyDescent="0.3">
      <c r="A33" s="1">
        <v>32</v>
      </c>
      <c r="B33" s="1">
        <v>38</v>
      </c>
      <c r="C33" s="1" t="s">
        <v>9</v>
      </c>
      <c r="D33" s="1" t="s">
        <v>10</v>
      </c>
      <c r="E33" s="1">
        <v>1800</v>
      </c>
      <c r="F33" s="1" t="s">
        <v>11</v>
      </c>
    </row>
    <row r="34" spans="1:6" ht="18" x14ac:dyDescent="0.3">
      <c r="A34" s="1">
        <v>33</v>
      </c>
      <c r="B34" s="1">
        <v>41</v>
      </c>
      <c r="C34" s="1" t="s">
        <v>6</v>
      </c>
      <c r="D34" s="1" t="s">
        <v>12</v>
      </c>
      <c r="E34" s="1">
        <v>900</v>
      </c>
      <c r="F34" s="1" t="s">
        <v>13</v>
      </c>
    </row>
    <row r="35" spans="1:6" ht="18" x14ac:dyDescent="0.3">
      <c r="A35" s="1">
        <v>34</v>
      </c>
      <c r="B35" s="1">
        <v>20</v>
      </c>
      <c r="C35" s="1" t="s">
        <v>9</v>
      </c>
      <c r="D35" s="1" t="s">
        <v>14</v>
      </c>
      <c r="E35" s="1">
        <v>120</v>
      </c>
      <c r="F35" s="1" t="s">
        <v>13</v>
      </c>
    </row>
    <row r="36" spans="1:6" ht="18" x14ac:dyDescent="0.3">
      <c r="A36" s="1">
        <v>35</v>
      </c>
      <c r="B36" s="1">
        <v>57</v>
      </c>
      <c r="C36" s="1" t="s">
        <v>9</v>
      </c>
      <c r="D36" s="1" t="s">
        <v>15</v>
      </c>
      <c r="E36" s="1">
        <v>3200</v>
      </c>
      <c r="F36" s="1" t="s">
        <v>8</v>
      </c>
    </row>
    <row r="37" spans="1:6" ht="18" x14ac:dyDescent="0.3">
      <c r="A37" s="1">
        <v>36</v>
      </c>
      <c r="B37" s="1">
        <v>43</v>
      </c>
      <c r="C37" s="1" t="s">
        <v>6</v>
      </c>
      <c r="D37" s="1" t="s">
        <v>16</v>
      </c>
      <c r="E37" s="1">
        <v>1400</v>
      </c>
      <c r="F37" s="1" t="s">
        <v>11</v>
      </c>
    </row>
    <row r="38" spans="1:6" ht="18" x14ac:dyDescent="0.3">
      <c r="A38" s="1">
        <v>37</v>
      </c>
      <c r="B38" s="1">
        <v>34</v>
      </c>
      <c r="C38" s="1" t="s">
        <v>9</v>
      </c>
      <c r="D38" s="1" t="s">
        <v>17</v>
      </c>
      <c r="E38" s="1">
        <v>1000</v>
      </c>
      <c r="F38" s="1" t="s">
        <v>8</v>
      </c>
    </row>
    <row r="39" spans="1:6" ht="18" x14ac:dyDescent="0.3">
      <c r="A39" s="1">
        <v>38</v>
      </c>
      <c r="B39" s="1">
        <v>25</v>
      </c>
      <c r="C39" s="1" t="s">
        <v>6</v>
      </c>
      <c r="D39" s="1" t="s">
        <v>18</v>
      </c>
      <c r="E39" s="1">
        <v>400</v>
      </c>
      <c r="F39" s="1" t="s">
        <v>13</v>
      </c>
    </row>
    <row r="40" spans="1:6" ht="18" x14ac:dyDescent="0.3">
      <c r="A40" s="1">
        <v>39</v>
      </c>
      <c r="B40" s="1">
        <v>33</v>
      </c>
      <c r="C40" s="1" t="s">
        <v>9</v>
      </c>
      <c r="D40" s="1" t="s">
        <v>19</v>
      </c>
      <c r="E40" s="1">
        <v>750</v>
      </c>
      <c r="F40" s="1" t="s">
        <v>11</v>
      </c>
    </row>
    <row r="41" spans="1:6" ht="18" x14ac:dyDescent="0.3">
      <c r="A41" s="1">
        <v>40</v>
      </c>
      <c r="B41" s="1">
        <v>47</v>
      </c>
      <c r="C41" s="1" t="s">
        <v>6</v>
      </c>
      <c r="D41" s="1" t="s">
        <v>20</v>
      </c>
      <c r="E41" s="1">
        <v>1900</v>
      </c>
      <c r="F41" s="1" t="s">
        <v>13</v>
      </c>
    </row>
    <row r="42" spans="1:6" ht="18" x14ac:dyDescent="0.3">
      <c r="A42" s="1">
        <v>41</v>
      </c>
      <c r="B42" s="1">
        <v>30</v>
      </c>
      <c r="C42" s="1" t="s">
        <v>9</v>
      </c>
      <c r="D42" s="1" t="s">
        <v>7</v>
      </c>
      <c r="E42" s="1">
        <v>950</v>
      </c>
      <c r="F42" s="1" t="s">
        <v>8</v>
      </c>
    </row>
    <row r="43" spans="1:6" ht="18" x14ac:dyDescent="0.3">
      <c r="A43" s="1">
        <v>42</v>
      </c>
      <c r="B43" s="1">
        <v>29</v>
      </c>
      <c r="C43" s="1" t="s">
        <v>6</v>
      </c>
      <c r="D43" s="1" t="s">
        <v>10</v>
      </c>
      <c r="E43" s="1">
        <v>1100</v>
      </c>
      <c r="F43" s="1" t="s">
        <v>11</v>
      </c>
    </row>
    <row r="44" spans="1:6" ht="18" x14ac:dyDescent="0.3">
      <c r="A44" s="1">
        <v>43</v>
      </c>
      <c r="B44" s="1">
        <v>44</v>
      </c>
      <c r="C44" s="1" t="s">
        <v>6</v>
      </c>
      <c r="D44" s="1" t="s">
        <v>12</v>
      </c>
      <c r="E44" s="1">
        <v>650</v>
      </c>
      <c r="F44" s="1" t="s">
        <v>13</v>
      </c>
    </row>
    <row r="45" spans="1:6" ht="18" x14ac:dyDescent="0.3">
      <c r="A45" s="1">
        <v>44</v>
      </c>
      <c r="B45" s="1">
        <v>23</v>
      </c>
      <c r="C45" s="1" t="s">
        <v>9</v>
      </c>
      <c r="D45" s="1" t="s">
        <v>14</v>
      </c>
      <c r="E45" s="1">
        <v>180</v>
      </c>
      <c r="F45" s="1" t="s">
        <v>8</v>
      </c>
    </row>
    <row r="46" spans="1:6" ht="18" x14ac:dyDescent="0.3">
      <c r="A46" s="1">
        <v>45</v>
      </c>
      <c r="B46" s="1">
        <v>54</v>
      </c>
      <c r="C46" s="1" t="s">
        <v>9</v>
      </c>
      <c r="D46" s="1" t="s">
        <v>15</v>
      </c>
      <c r="E46" s="1">
        <v>2700</v>
      </c>
      <c r="F46" s="1" t="s">
        <v>8</v>
      </c>
    </row>
    <row r="47" spans="1:6" ht="18" x14ac:dyDescent="0.3">
      <c r="A47" s="1">
        <v>46</v>
      </c>
      <c r="B47" s="1">
        <v>42</v>
      </c>
      <c r="C47" s="1" t="s">
        <v>6</v>
      </c>
      <c r="D47" s="1" t="s">
        <v>16</v>
      </c>
      <c r="E47" s="1">
        <v>1250</v>
      </c>
      <c r="F47" s="1" t="s">
        <v>11</v>
      </c>
    </row>
    <row r="48" spans="1:6" ht="18" x14ac:dyDescent="0.3">
      <c r="A48" s="1">
        <v>47</v>
      </c>
      <c r="B48" s="1">
        <v>31</v>
      </c>
      <c r="C48" s="1" t="s">
        <v>9</v>
      </c>
      <c r="D48" s="1" t="s">
        <v>17</v>
      </c>
      <c r="E48" s="1">
        <v>850</v>
      </c>
      <c r="F48" s="1" t="s">
        <v>8</v>
      </c>
    </row>
    <row r="49" spans="1:10" ht="18" x14ac:dyDescent="0.3">
      <c r="A49" s="1">
        <v>48</v>
      </c>
      <c r="B49" s="1">
        <v>22</v>
      </c>
      <c r="C49" s="1" t="s">
        <v>6</v>
      </c>
      <c r="D49" s="1" t="s">
        <v>18</v>
      </c>
      <c r="E49" s="1">
        <v>320</v>
      </c>
      <c r="F49" s="1" t="s">
        <v>13</v>
      </c>
    </row>
    <row r="50" spans="1:10" ht="18" x14ac:dyDescent="0.3">
      <c r="A50" s="1">
        <v>49</v>
      </c>
      <c r="B50" s="1">
        <v>28</v>
      </c>
      <c r="C50" s="1" t="s">
        <v>9</v>
      </c>
      <c r="D50" s="1" t="s">
        <v>19</v>
      </c>
      <c r="E50" s="1">
        <v>650</v>
      </c>
      <c r="F50" s="1" t="s">
        <v>11</v>
      </c>
    </row>
    <row r="51" spans="1:10" ht="18" x14ac:dyDescent="0.3">
      <c r="A51" s="1">
        <v>50</v>
      </c>
      <c r="B51" s="1">
        <v>49</v>
      </c>
      <c r="C51" s="1" t="s">
        <v>6</v>
      </c>
      <c r="D51" s="1" t="s">
        <v>20</v>
      </c>
      <c r="E51" s="1">
        <v>2100</v>
      </c>
      <c r="F51" s="1" t="s">
        <v>13</v>
      </c>
    </row>
    <row r="52" spans="1:10" ht="18" x14ac:dyDescent="0.3">
      <c r="A52" s="1">
        <v>51</v>
      </c>
      <c r="B52" s="1">
        <v>35</v>
      </c>
      <c r="C52" s="1" t="s">
        <v>6</v>
      </c>
      <c r="D52" s="1" t="s">
        <v>7</v>
      </c>
      <c r="E52" s="1">
        <v>1600</v>
      </c>
      <c r="F52" s="1" t="s">
        <v>8</v>
      </c>
    </row>
    <row r="53" spans="1:10" ht="18" x14ac:dyDescent="0.3">
      <c r="A53" s="1">
        <v>52</v>
      </c>
      <c r="B53" s="1">
        <v>37</v>
      </c>
      <c r="C53" s="1" t="s">
        <v>9</v>
      </c>
      <c r="D53" s="1" t="s">
        <v>10</v>
      </c>
      <c r="E53" s="1">
        <v>2200</v>
      </c>
      <c r="F53" s="1" t="s">
        <v>11</v>
      </c>
    </row>
    <row r="54" spans="1:10" ht="18" x14ac:dyDescent="0.3">
      <c r="A54" s="1">
        <v>53</v>
      </c>
      <c r="B54" s="1">
        <v>40</v>
      </c>
      <c r="C54" s="1" t="s">
        <v>6</v>
      </c>
      <c r="D54" s="1" t="s">
        <v>12</v>
      </c>
      <c r="E54" s="1">
        <v>750</v>
      </c>
      <c r="F54" s="1" t="s">
        <v>13</v>
      </c>
    </row>
    <row r="55" spans="1:10" ht="18" x14ac:dyDescent="0.3">
      <c r="A55" s="1">
        <v>54</v>
      </c>
      <c r="B55" s="1">
        <v>18</v>
      </c>
      <c r="C55" s="1" t="s">
        <v>9</v>
      </c>
      <c r="D55" s="1" t="s">
        <v>14</v>
      </c>
      <c r="E55" s="1">
        <v>80</v>
      </c>
      <c r="F55" s="1" t="s">
        <v>8</v>
      </c>
    </row>
    <row r="56" spans="1:10" ht="18" x14ac:dyDescent="0.3">
      <c r="A56" s="1">
        <v>55</v>
      </c>
      <c r="B56" s="1">
        <v>53</v>
      </c>
      <c r="C56" s="1" t="s">
        <v>9</v>
      </c>
      <c r="D56" s="1" t="s">
        <v>15</v>
      </c>
      <c r="E56" s="1">
        <v>3500</v>
      </c>
      <c r="F56" s="1" t="s">
        <v>8</v>
      </c>
    </row>
    <row r="57" spans="1:10" ht="18" x14ac:dyDescent="0.3">
      <c r="A57" s="1">
        <v>56</v>
      </c>
      <c r="B57" s="1">
        <v>39</v>
      </c>
      <c r="C57" s="1" t="s">
        <v>6</v>
      </c>
      <c r="D57" s="1" t="s">
        <v>16</v>
      </c>
      <c r="E57" s="1">
        <v>1400</v>
      </c>
      <c r="F57" s="1" t="s">
        <v>11</v>
      </c>
    </row>
    <row r="58" spans="1:10" ht="18" x14ac:dyDescent="0.3">
      <c r="A58" s="1">
        <v>57</v>
      </c>
      <c r="B58" s="1">
        <v>32</v>
      </c>
      <c r="C58" s="1" t="s">
        <v>9</v>
      </c>
      <c r="D58" s="1" t="s">
        <v>17</v>
      </c>
      <c r="E58" s="1">
        <v>950</v>
      </c>
      <c r="F58" s="1" t="s">
        <v>8</v>
      </c>
    </row>
    <row r="59" spans="1:10" ht="18" x14ac:dyDescent="0.3">
      <c r="A59" s="1">
        <v>58</v>
      </c>
      <c r="B59" s="1">
        <v>24</v>
      </c>
      <c r="C59" s="1" t="s">
        <v>6</v>
      </c>
      <c r="D59" s="1" t="s">
        <v>18</v>
      </c>
      <c r="E59" s="1">
        <v>280</v>
      </c>
      <c r="F59" s="1" t="s">
        <v>13</v>
      </c>
      <c r="J59">
        <f>SUM(E:E)</f>
        <v>70780</v>
      </c>
    </row>
    <row r="60" spans="1:10" ht="18" x14ac:dyDescent="0.3">
      <c r="A60" s="1">
        <v>59</v>
      </c>
      <c r="B60" s="1">
        <v>31</v>
      </c>
      <c r="C60" s="1" t="s">
        <v>9</v>
      </c>
      <c r="D60" s="1" t="s">
        <v>19</v>
      </c>
      <c r="E60" s="1">
        <v>650</v>
      </c>
      <c r="F60" s="1" t="s">
        <v>11</v>
      </c>
    </row>
    <row r="61" spans="1:10" ht="18" x14ac:dyDescent="0.3">
      <c r="A61" s="1">
        <v>60</v>
      </c>
      <c r="B61" s="1">
        <v>50</v>
      </c>
      <c r="C61" s="1" t="s">
        <v>6</v>
      </c>
      <c r="D61" s="1" t="s">
        <v>20</v>
      </c>
      <c r="E61" s="1">
        <v>2300</v>
      </c>
      <c r="F61" s="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A16F5-194F-4B1C-BD49-20E3AA93F224}">
  <sheetPr codeName="Sheet2"/>
  <dimension ref="A1:J61"/>
  <sheetViews>
    <sheetView workbookViewId="0">
      <selection activeCell="I4" sqref="I4"/>
    </sheetView>
  </sheetViews>
  <sheetFormatPr defaultRowHeight="14.4" x14ac:dyDescent="0.3"/>
  <cols>
    <col min="1" max="1" width="16.5546875" customWidth="1"/>
    <col min="2" max="2" width="14.44140625" customWidth="1"/>
    <col min="3" max="3" width="14.33203125" customWidth="1"/>
    <col min="4" max="4" width="16.6640625" customWidth="1"/>
    <col min="5" max="5" width="18.109375" customWidth="1"/>
    <col min="6" max="6" width="17.33203125" customWidth="1"/>
    <col min="9" max="9" width="22.33203125" customWidth="1"/>
    <col min="10" max="10" width="24.6640625" customWidth="1"/>
  </cols>
  <sheetData>
    <row r="1" spans="1:10" ht="45.6" customHeight="1" x14ac:dyDescent="0.3">
      <c r="A1" s="2" t="s">
        <v>0</v>
      </c>
      <c r="B1" s="2" t="s">
        <v>1</v>
      </c>
      <c r="C1" s="2" t="s">
        <v>2</v>
      </c>
      <c r="D1" s="2" t="s">
        <v>3</v>
      </c>
      <c r="E1" s="2" t="s">
        <v>4</v>
      </c>
      <c r="F1" s="2" t="s">
        <v>5</v>
      </c>
      <c r="I1" s="8" t="s">
        <v>26</v>
      </c>
      <c r="J1" s="8" t="s">
        <v>29</v>
      </c>
    </row>
    <row r="2" spans="1:10" ht="33" customHeight="1" x14ac:dyDescent="0.3">
      <c r="A2" s="1">
        <v>1</v>
      </c>
      <c r="B2" s="1">
        <v>28</v>
      </c>
      <c r="C2" s="1" t="s">
        <v>6</v>
      </c>
      <c r="D2" s="1" t="s">
        <v>7</v>
      </c>
      <c r="E2" s="1">
        <v>1500</v>
      </c>
      <c r="F2" s="1" t="s">
        <v>8</v>
      </c>
      <c r="I2" s="5" t="s">
        <v>27</v>
      </c>
      <c r="J2" s="9">
        <f>AVERAGE(E2:E61)</f>
        <v>1190.5499999999995</v>
      </c>
    </row>
    <row r="3" spans="1:10" ht="28.8" customHeight="1" x14ac:dyDescent="0.3">
      <c r="A3" s="1">
        <v>2</v>
      </c>
      <c r="B3" s="1">
        <v>35</v>
      </c>
      <c r="C3" s="1" t="s">
        <v>9</v>
      </c>
      <c r="D3" s="1" t="s">
        <v>10</v>
      </c>
      <c r="E3" s="1">
        <v>2000</v>
      </c>
      <c r="F3" s="1" t="s">
        <v>11</v>
      </c>
      <c r="I3" s="5" t="s">
        <v>28</v>
      </c>
      <c r="J3" s="7">
        <f>MEDIAN(E2:E61)</f>
        <v>950</v>
      </c>
    </row>
    <row r="4" spans="1:10" ht="28.8" customHeight="1" x14ac:dyDescent="0.3">
      <c r="A4" s="1">
        <v>3</v>
      </c>
      <c r="B4" s="1">
        <v>42</v>
      </c>
      <c r="C4" s="1" t="s">
        <v>6</v>
      </c>
      <c r="D4" s="1" t="s">
        <v>12</v>
      </c>
      <c r="E4" s="1">
        <v>500</v>
      </c>
      <c r="F4" s="1" t="s">
        <v>13</v>
      </c>
      <c r="I4" s="5" t="s">
        <v>25</v>
      </c>
      <c r="J4" s="7">
        <f>_xlfn.MODE.SNGL(E2:E61)</f>
        <v>1200</v>
      </c>
    </row>
    <row r="5" spans="1:10" ht="27.6" customHeight="1" x14ac:dyDescent="0.3">
      <c r="A5" s="1">
        <v>4</v>
      </c>
      <c r="B5" s="1">
        <v>19</v>
      </c>
      <c r="C5" s="1" t="s">
        <v>9</v>
      </c>
      <c r="D5" s="1" t="s">
        <v>14</v>
      </c>
      <c r="E5" s="1">
        <v>100</v>
      </c>
      <c r="F5" s="1" t="s">
        <v>8</v>
      </c>
    </row>
    <row r="6" spans="1:10" ht="32.4" customHeight="1" x14ac:dyDescent="0.3">
      <c r="A6" s="1">
        <v>5</v>
      </c>
      <c r="B6" s="1">
        <v>56</v>
      </c>
      <c r="C6" s="1" t="s">
        <v>9</v>
      </c>
      <c r="D6" s="1" t="s">
        <v>15</v>
      </c>
      <c r="E6" s="1">
        <v>3000</v>
      </c>
      <c r="F6" s="1" t="s">
        <v>8</v>
      </c>
    </row>
    <row r="7" spans="1:10" ht="27" customHeight="1" x14ac:dyDescent="0.3">
      <c r="A7" s="1">
        <v>6</v>
      </c>
      <c r="B7" s="1">
        <v>41</v>
      </c>
      <c r="C7" s="1" t="s">
        <v>6</v>
      </c>
      <c r="D7" s="1" t="s">
        <v>16</v>
      </c>
      <c r="E7" s="1">
        <v>1200</v>
      </c>
      <c r="F7" s="1" t="s">
        <v>11</v>
      </c>
    </row>
    <row r="8" spans="1:10" ht="27.6" customHeight="1" x14ac:dyDescent="0.3">
      <c r="A8" s="1">
        <v>7</v>
      </c>
      <c r="B8" s="1">
        <v>33</v>
      </c>
      <c r="C8" s="1" t="s">
        <v>9</v>
      </c>
      <c r="D8" s="1" t="s">
        <v>17</v>
      </c>
      <c r="E8" s="1">
        <v>800</v>
      </c>
      <c r="F8" s="1" t="s">
        <v>8</v>
      </c>
    </row>
    <row r="9" spans="1:10" ht="25.2" customHeight="1" x14ac:dyDescent="0.3">
      <c r="A9" s="1">
        <v>8</v>
      </c>
      <c r="B9" s="1">
        <v>24</v>
      </c>
      <c r="C9" s="1" t="s">
        <v>6</v>
      </c>
      <c r="D9" s="1" t="s">
        <v>18</v>
      </c>
      <c r="E9" s="1">
        <v>250</v>
      </c>
      <c r="F9" s="1" t="s">
        <v>13</v>
      </c>
    </row>
    <row r="10" spans="1:10" ht="27" customHeight="1" x14ac:dyDescent="0.3">
      <c r="A10" s="1">
        <v>9</v>
      </c>
      <c r="B10" s="1">
        <v>29</v>
      </c>
      <c r="C10" s="1" t="s">
        <v>9</v>
      </c>
      <c r="D10" s="1" t="s">
        <v>19</v>
      </c>
      <c r="E10" s="1">
        <v>700</v>
      </c>
      <c r="F10" s="1" t="s">
        <v>11</v>
      </c>
    </row>
    <row r="11" spans="1:10" ht="21" customHeight="1" x14ac:dyDescent="0.3">
      <c r="A11" s="1">
        <v>10</v>
      </c>
      <c r="B11" s="1">
        <v>45</v>
      </c>
      <c r="C11" s="1" t="s">
        <v>6</v>
      </c>
      <c r="D11" s="1" t="s">
        <v>20</v>
      </c>
      <c r="E11" s="1">
        <v>1800</v>
      </c>
      <c r="F11" s="1" t="s">
        <v>13</v>
      </c>
    </row>
    <row r="12" spans="1:10" ht="29.4" customHeight="1" x14ac:dyDescent="0.3">
      <c r="A12" s="1">
        <v>11</v>
      </c>
      <c r="B12" s="1">
        <v>31</v>
      </c>
      <c r="C12" s="1" t="s">
        <v>6</v>
      </c>
      <c r="D12" s="1" t="s">
        <v>7</v>
      </c>
      <c r="E12" s="1">
        <v>900</v>
      </c>
      <c r="F12" s="1" t="s">
        <v>8</v>
      </c>
    </row>
    <row r="13" spans="1:10" ht="26.4" customHeight="1" x14ac:dyDescent="0.3">
      <c r="A13" s="1">
        <v>12</v>
      </c>
      <c r="B13" s="1">
        <v>39</v>
      </c>
      <c r="C13" s="1" t="s">
        <v>9</v>
      </c>
      <c r="D13" s="1" t="s">
        <v>10</v>
      </c>
      <c r="E13" s="1">
        <v>1500</v>
      </c>
      <c r="F13" s="1" t="s">
        <v>11</v>
      </c>
    </row>
    <row r="14" spans="1:10" ht="23.4" customHeight="1" x14ac:dyDescent="0.3">
      <c r="A14" s="1">
        <v>13</v>
      </c>
      <c r="B14" s="1">
        <v>37</v>
      </c>
      <c r="C14" s="1" t="s">
        <v>6</v>
      </c>
      <c r="D14" s="1" t="s">
        <v>12</v>
      </c>
      <c r="E14" s="1">
        <v>600</v>
      </c>
      <c r="F14" s="1" t="s">
        <v>13</v>
      </c>
    </row>
    <row r="15" spans="1:10" ht="22.8" customHeight="1" x14ac:dyDescent="0.3">
      <c r="A15" s="1">
        <v>14</v>
      </c>
      <c r="B15" s="1">
        <v>22</v>
      </c>
      <c r="C15" s="1" t="s">
        <v>9</v>
      </c>
      <c r="D15" s="1" t="s">
        <v>14</v>
      </c>
      <c r="E15" s="1">
        <v>200</v>
      </c>
      <c r="F15" s="1" t="s">
        <v>8</v>
      </c>
    </row>
    <row r="16" spans="1:10" ht="28.8" customHeight="1" x14ac:dyDescent="0.3">
      <c r="A16" s="1">
        <v>15</v>
      </c>
      <c r="B16" s="1">
        <v>44</v>
      </c>
      <c r="C16" s="1" t="s">
        <v>9</v>
      </c>
      <c r="D16" s="1" t="s">
        <v>15</v>
      </c>
      <c r="E16" s="1">
        <v>2500</v>
      </c>
      <c r="F16" s="1" t="s">
        <v>8</v>
      </c>
    </row>
    <row r="17" spans="1:6" ht="27" customHeight="1" x14ac:dyDescent="0.3">
      <c r="A17" s="1">
        <v>16</v>
      </c>
      <c r="B17" s="1">
        <v>27</v>
      </c>
      <c r="C17" s="1" t="s">
        <v>6</v>
      </c>
      <c r="D17" s="1" t="s">
        <v>16</v>
      </c>
      <c r="E17" s="1">
        <v>1100</v>
      </c>
      <c r="F17" s="1" t="s">
        <v>11</v>
      </c>
    </row>
    <row r="18" spans="1:6" ht="27.6" customHeight="1" x14ac:dyDescent="0.3">
      <c r="A18" s="1">
        <v>17</v>
      </c>
      <c r="B18" s="1">
        <v>30</v>
      </c>
      <c r="C18" s="1" t="s">
        <v>9</v>
      </c>
      <c r="D18" s="1" t="s">
        <v>17</v>
      </c>
      <c r="E18" s="1">
        <v>1200</v>
      </c>
      <c r="F18" s="1" t="s">
        <v>8</v>
      </c>
    </row>
    <row r="19" spans="1:6" ht="25.2" customHeight="1" x14ac:dyDescent="0.3">
      <c r="A19" s="1">
        <v>18</v>
      </c>
      <c r="B19" s="1">
        <v>26</v>
      </c>
      <c r="C19" s="1" t="s">
        <v>6</v>
      </c>
      <c r="D19" s="1" t="s">
        <v>18</v>
      </c>
      <c r="E19" s="1">
        <v>350</v>
      </c>
      <c r="F19" s="1" t="s">
        <v>13</v>
      </c>
    </row>
    <row r="20" spans="1:6" ht="21.6" customHeight="1" x14ac:dyDescent="0.3">
      <c r="A20" s="1">
        <v>19</v>
      </c>
      <c r="B20" s="1">
        <v>34</v>
      </c>
      <c r="C20" s="1" t="s">
        <v>9</v>
      </c>
      <c r="D20" s="1" t="s">
        <v>19</v>
      </c>
      <c r="E20" s="1">
        <v>800</v>
      </c>
      <c r="F20" s="1" t="s">
        <v>11</v>
      </c>
    </row>
    <row r="21" spans="1:6" ht="28.2" customHeight="1" x14ac:dyDescent="0.3">
      <c r="A21" s="1">
        <v>20</v>
      </c>
      <c r="B21" s="1">
        <v>48</v>
      </c>
      <c r="C21" s="1" t="s">
        <v>6</v>
      </c>
      <c r="D21" s="1" t="s">
        <v>20</v>
      </c>
      <c r="E21" s="1">
        <v>2000</v>
      </c>
      <c r="F21" s="1" t="s">
        <v>13</v>
      </c>
    </row>
    <row r="22" spans="1:6" ht="26.4" customHeight="1" x14ac:dyDescent="0.3">
      <c r="A22" s="1">
        <v>21</v>
      </c>
      <c r="B22" s="1">
        <v>39</v>
      </c>
      <c r="C22" s="1" t="s">
        <v>9</v>
      </c>
      <c r="D22" s="1" t="s">
        <v>7</v>
      </c>
      <c r="E22" s="1">
        <v>800</v>
      </c>
      <c r="F22" s="1" t="s">
        <v>8</v>
      </c>
    </row>
    <row r="23" spans="1:6" ht="28.8" customHeight="1" x14ac:dyDescent="0.3">
      <c r="A23" s="1">
        <v>22</v>
      </c>
      <c r="B23" s="1">
        <v>28</v>
      </c>
      <c r="C23" s="1" t="s">
        <v>6</v>
      </c>
      <c r="D23" s="1" t="s">
        <v>10</v>
      </c>
      <c r="E23" s="1">
        <v>1200</v>
      </c>
      <c r="F23" s="1" t="s">
        <v>11</v>
      </c>
    </row>
    <row r="24" spans="1:6" ht="20.399999999999999" customHeight="1" x14ac:dyDescent="0.3">
      <c r="A24" s="1">
        <v>23</v>
      </c>
      <c r="B24" s="1">
        <v>43</v>
      </c>
      <c r="C24" s="1" t="s">
        <v>6</v>
      </c>
      <c r="D24" s="1" t="s">
        <v>12</v>
      </c>
      <c r="E24" s="1">
        <v>700</v>
      </c>
      <c r="F24" s="1" t="s">
        <v>13</v>
      </c>
    </row>
    <row r="25" spans="1:6" ht="25.2" customHeight="1" x14ac:dyDescent="0.3">
      <c r="A25" s="1">
        <v>24</v>
      </c>
      <c r="B25" s="1">
        <v>21</v>
      </c>
      <c r="C25" s="1" t="s">
        <v>9</v>
      </c>
      <c r="D25" s="1" t="s">
        <v>14</v>
      </c>
      <c r="E25" s="1">
        <v>150</v>
      </c>
      <c r="F25" s="1" t="s">
        <v>8</v>
      </c>
    </row>
    <row r="26" spans="1:6" ht="33" customHeight="1" x14ac:dyDescent="0.3">
      <c r="A26" s="1">
        <v>25</v>
      </c>
      <c r="B26" s="1">
        <v>55</v>
      </c>
      <c r="C26" s="1" t="s">
        <v>9</v>
      </c>
      <c r="D26" s="1" t="s">
        <v>15</v>
      </c>
      <c r="E26" s="1">
        <v>2800</v>
      </c>
      <c r="F26" s="1" t="s">
        <v>8</v>
      </c>
    </row>
    <row r="27" spans="1:6" ht="24" customHeight="1" x14ac:dyDescent="0.3">
      <c r="A27" s="1">
        <v>26</v>
      </c>
      <c r="B27" s="1">
        <v>40</v>
      </c>
      <c r="C27" s="1" t="s">
        <v>6</v>
      </c>
      <c r="D27" s="1" t="s">
        <v>16</v>
      </c>
      <c r="E27" s="1">
        <v>1300</v>
      </c>
      <c r="F27" s="1" t="s">
        <v>11</v>
      </c>
    </row>
    <row r="28" spans="1:6" ht="23.4" customHeight="1" x14ac:dyDescent="0.3">
      <c r="A28" s="1">
        <v>27</v>
      </c>
      <c r="B28" s="1">
        <v>32</v>
      </c>
      <c r="C28" s="1" t="s">
        <v>9</v>
      </c>
      <c r="D28" s="1" t="s">
        <v>17</v>
      </c>
      <c r="E28" s="1">
        <v>900</v>
      </c>
      <c r="F28" s="1" t="s">
        <v>8</v>
      </c>
    </row>
    <row r="29" spans="1:6" ht="31.2" customHeight="1" x14ac:dyDescent="0.3">
      <c r="A29" s="1">
        <v>28</v>
      </c>
      <c r="B29" s="1">
        <v>23</v>
      </c>
      <c r="C29" s="1" t="s">
        <v>6</v>
      </c>
      <c r="D29" s="1" t="s">
        <v>18</v>
      </c>
      <c r="E29" s="1">
        <v>300</v>
      </c>
      <c r="F29" s="1" t="s">
        <v>13</v>
      </c>
    </row>
    <row r="30" spans="1:6" ht="30" customHeight="1" x14ac:dyDescent="0.3">
      <c r="A30" s="1">
        <v>29</v>
      </c>
      <c r="B30" s="1">
        <v>27</v>
      </c>
      <c r="C30" s="1" t="s">
        <v>9</v>
      </c>
      <c r="D30" s="1" t="s">
        <v>19</v>
      </c>
      <c r="E30" s="1">
        <v>600</v>
      </c>
      <c r="F30" s="1" t="s">
        <v>11</v>
      </c>
    </row>
    <row r="31" spans="1:6" ht="26.4" customHeight="1" x14ac:dyDescent="0.3">
      <c r="A31" s="1">
        <v>30</v>
      </c>
      <c r="B31" s="1">
        <v>46</v>
      </c>
      <c r="C31" s="1" t="s">
        <v>6</v>
      </c>
      <c r="D31" s="1" t="s">
        <v>20</v>
      </c>
      <c r="E31" s="1">
        <v>1700</v>
      </c>
      <c r="F31" s="1" t="s">
        <v>13</v>
      </c>
    </row>
    <row r="32" spans="1:6" ht="23.4" customHeight="1" x14ac:dyDescent="0.3">
      <c r="A32" s="1">
        <v>31</v>
      </c>
      <c r="B32" s="1">
        <v>36</v>
      </c>
      <c r="C32" s="1" t="s">
        <v>6</v>
      </c>
      <c r="D32" s="1" t="s">
        <v>7</v>
      </c>
      <c r="E32" s="1">
        <v>1400</v>
      </c>
      <c r="F32" s="1" t="s">
        <v>8</v>
      </c>
    </row>
    <row r="33" spans="1:6" ht="30.6" customHeight="1" x14ac:dyDescent="0.3">
      <c r="A33" s="1">
        <v>32</v>
      </c>
      <c r="B33" s="1">
        <v>38</v>
      </c>
      <c r="C33" s="1" t="s">
        <v>9</v>
      </c>
      <c r="D33" s="1" t="s">
        <v>10</v>
      </c>
      <c r="E33" s="1">
        <v>1800</v>
      </c>
      <c r="F33" s="1" t="s">
        <v>11</v>
      </c>
    </row>
    <row r="34" spans="1:6" ht="21" customHeight="1" x14ac:dyDescent="0.3">
      <c r="A34" s="1">
        <v>33</v>
      </c>
      <c r="B34" s="1">
        <v>41</v>
      </c>
      <c r="C34" s="1" t="s">
        <v>6</v>
      </c>
      <c r="D34" s="1" t="s">
        <v>12</v>
      </c>
      <c r="E34" s="1">
        <v>900</v>
      </c>
      <c r="F34" s="1" t="s">
        <v>13</v>
      </c>
    </row>
    <row r="35" spans="1:6" ht="21" customHeight="1" x14ac:dyDescent="0.3">
      <c r="A35" s="1">
        <v>34</v>
      </c>
      <c r="B35" s="1">
        <v>20</v>
      </c>
      <c r="C35" s="1" t="s">
        <v>9</v>
      </c>
      <c r="D35" s="1" t="s">
        <v>14</v>
      </c>
      <c r="E35" s="1">
        <v>120</v>
      </c>
      <c r="F35" s="1" t="s">
        <v>13</v>
      </c>
    </row>
    <row r="36" spans="1:6" ht="24.6" customHeight="1" x14ac:dyDescent="0.3">
      <c r="A36" s="1">
        <v>35</v>
      </c>
      <c r="B36" s="1">
        <v>57</v>
      </c>
      <c r="C36" s="1" t="s">
        <v>9</v>
      </c>
      <c r="D36" s="1" t="s">
        <v>15</v>
      </c>
      <c r="E36" s="1">
        <v>3200</v>
      </c>
      <c r="F36" s="1" t="s">
        <v>8</v>
      </c>
    </row>
    <row r="37" spans="1:6" ht="19.8" customHeight="1" x14ac:dyDescent="0.3">
      <c r="A37" s="1">
        <v>36</v>
      </c>
      <c r="B37" s="1">
        <v>43</v>
      </c>
      <c r="C37" s="1" t="s">
        <v>6</v>
      </c>
      <c r="D37" s="1" t="s">
        <v>16</v>
      </c>
      <c r="E37" s="1">
        <v>1400</v>
      </c>
      <c r="F37" s="1" t="s">
        <v>11</v>
      </c>
    </row>
    <row r="38" spans="1:6" ht="25.2" customHeight="1" x14ac:dyDescent="0.3">
      <c r="A38" s="1">
        <v>37</v>
      </c>
      <c r="B38" s="1">
        <v>34</v>
      </c>
      <c r="C38" s="1" t="s">
        <v>9</v>
      </c>
      <c r="D38" s="1" t="s">
        <v>17</v>
      </c>
      <c r="E38" s="1">
        <v>1000</v>
      </c>
      <c r="F38" s="1" t="s">
        <v>8</v>
      </c>
    </row>
    <row r="39" spans="1:6" ht="24" customHeight="1" x14ac:dyDescent="0.3">
      <c r="A39" s="1">
        <v>38</v>
      </c>
      <c r="B39" s="1">
        <v>25</v>
      </c>
      <c r="C39" s="1" t="s">
        <v>6</v>
      </c>
      <c r="D39" s="1" t="s">
        <v>18</v>
      </c>
      <c r="E39" s="1">
        <v>400</v>
      </c>
      <c r="F39" s="1" t="s">
        <v>13</v>
      </c>
    </row>
    <row r="40" spans="1:6" ht="24" customHeight="1" x14ac:dyDescent="0.3">
      <c r="A40" s="1">
        <v>39</v>
      </c>
      <c r="B40" s="1">
        <v>33</v>
      </c>
      <c r="C40" s="1" t="s">
        <v>9</v>
      </c>
      <c r="D40" s="1" t="s">
        <v>19</v>
      </c>
      <c r="E40" s="1">
        <v>750</v>
      </c>
      <c r="F40" s="1" t="s">
        <v>11</v>
      </c>
    </row>
    <row r="41" spans="1:6" ht="27" customHeight="1" x14ac:dyDescent="0.3">
      <c r="A41" s="1">
        <v>40</v>
      </c>
      <c r="B41" s="1">
        <v>47</v>
      </c>
      <c r="C41" s="1" t="s">
        <v>6</v>
      </c>
      <c r="D41" s="1" t="s">
        <v>20</v>
      </c>
      <c r="E41" s="1">
        <v>1900</v>
      </c>
      <c r="F41" s="1" t="s">
        <v>13</v>
      </c>
    </row>
    <row r="42" spans="1:6" ht="25.2" customHeight="1" x14ac:dyDescent="0.3">
      <c r="A42" s="1">
        <v>41</v>
      </c>
      <c r="B42" s="1">
        <v>30</v>
      </c>
      <c r="C42" s="1" t="s">
        <v>9</v>
      </c>
      <c r="D42" s="1" t="s">
        <v>7</v>
      </c>
      <c r="E42" s="1">
        <v>950</v>
      </c>
      <c r="F42" s="1" t="s">
        <v>8</v>
      </c>
    </row>
    <row r="43" spans="1:6" ht="24" customHeight="1" x14ac:dyDescent="0.3">
      <c r="A43" s="1">
        <v>42</v>
      </c>
      <c r="B43" s="1">
        <v>29</v>
      </c>
      <c r="C43" s="1" t="s">
        <v>6</v>
      </c>
      <c r="D43" s="1" t="s">
        <v>10</v>
      </c>
      <c r="E43" s="1">
        <v>1100</v>
      </c>
      <c r="F43" s="1" t="s">
        <v>11</v>
      </c>
    </row>
    <row r="44" spans="1:6" ht="22.2" customHeight="1" x14ac:dyDescent="0.3">
      <c r="A44" s="1">
        <v>43</v>
      </c>
      <c r="B44" s="1">
        <v>44</v>
      </c>
      <c r="C44" s="1" t="s">
        <v>6</v>
      </c>
      <c r="D44" s="1" t="s">
        <v>12</v>
      </c>
      <c r="E44" s="1">
        <v>650</v>
      </c>
      <c r="F44" s="1" t="s">
        <v>13</v>
      </c>
    </row>
    <row r="45" spans="1:6" ht="25.2" customHeight="1" x14ac:dyDescent="0.3">
      <c r="A45" s="1">
        <v>44</v>
      </c>
      <c r="B45" s="1">
        <v>23</v>
      </c>
      <c r="C45" s="1" t="s">
        <v>9</v>
      </c>
      <c r="D45" s="1" t="s">
        <v>14</v>
      </c>
      <c r="E45" s="1">
        <v>180</v>
      </c>
      <c r="F45" s="1" t="s">
        <v>8</v>
      </c>
    </row>
    <row r="46" spans="1:6" ht="36.6" customHeight="1" x14ac:dyDescent="0.3">
      <c r="A46" s="1">
        <v>45</v>
      </c>
      <c r="B46" s="1">
        <v>54</v>
      </c>
      <c r="C46" s="1" t="s">
        <v>9</v>
      </c>
      <c r="D46" s="1" t="s">
        <v>15</v>
      </c>
      <c r="E46" s="1">
        <v>2700</v>
      </c>
      <c r="F46" s="1" t="s">
        <v>8</v>
      </c>
    </row>
    <row r="47" spans="1:6" ht="27" customHeight="1" x14ac:dyDescent="0.3">
      <c r="A47" s="1">
        <v>46</v>
      </c>
      <c r="B47" s="1">
        <v>42</v>
      </c>
      <c r="C47" s="1" t="s">
        <v>6</v>
      </c>
      <c r="D47" s="1" t="s">
        <v>16</v>
      </c>
      <c r="E47" s="1">
        <v>1250</v>
      </c>
      <c r="F47" s="1" t="s">
        <v>11</v>
      </c>
    </row>
    <row r="48" spans="1:6" ht="20.399999999999999" customHeight="1" x14ac:dyDescent="0.3">
      <c r="A48" s="1">
        <v>47</v>
      </c>
      <c r="B48" s="1">
        <v>31</v>
      </c>
      <c r="C48" s="1" t="s">
        <v>9</v>
      </c>
      <c r="D48" s="1" t="s">
        <v>17</v>
      </c>
      <c r="E48" s="1">
        <v>850</v>
      </c>
      <c r="F48" s="1" t="s">
        <v>8</v>
      </c>
    </row>
    <row r="49" spans="1:6" ht="26.4" customHeight="1" x14ac:dyDescent="0.3">
      <c r="A49" s="1">
        <v>48</v>
      </c>
      <c r="B49" s="1">
        <v>22</v>
      </c>
      <c r="C49" s="1" t="s">
        <v>6</v>
      </c>
      <c r="D49" s="1" t="s">
        <v>18</v>
      </c>
      <c r="E49" s="1">
        <v>320</v>
      </c>
      <c r="F49" s="1" t="s">
        <v>13</v>
      </c>
    </row>
    <row r="50" spans="1:6" ht="24.6" customHeight="1" x14ac:dyDescent="0.3">
      <c r="A50" s="1">
        <v>49</v>
      </c>
      <c r="B50" s="1">
        <v>28</v>
      </c>
      <c r="C50" s="1" t="s">
        <v>9</v>
      </c>
      <c r="D50" s="1" t="s">
        <v>19</v>
      </c>
      <c r="E50" s="1">
        <v>650</v>
      </c>
      <c r="F50" s="1" t="s">
        <v>11</v>
      </c>
    </row>
    <row r="51" spans="1:6" ht="24.6" customHeight="1" x14ac:dyDescent="0.3">
      <c r="A51" s="1">
        <v>50</v>
      </c>
      <c r="B51" s="1">
        <v>49</v>
      </c>
      <c r="C51" s="1" t="s">
        <v>6</v>
      </c>
      <c r="D51" s="1" t="s">
        <v>20</v>
      </c>
      <c r="E51" s="1">
        <v>2100</v>
      </c>
      <c r="F51" s="1" t="s">
        <v>13</v>
      </c>
    </row>
    <row r="52" spans="1:6" ht="27.6" customHeight="1" x14ac:dyDescent="0.3">
      <c r="A52" s="1">
        <v>51</v>
      </c>
      <c r="B52" s="1">
        <v>35</v>
      </c>
      <c r="C52" s="1" t="s">
        <v>6</v>
      </c>
      <c r="D52" s="1" t="s">
        <v>7</v>
      </c>
      <c r="E52" s="1">
        <v>1600</v>
      </c>
      <c r="F52" s="1" t="s">
        <v>8</v>
      </c>
    </row>
    <row r="53" spans="1:6" ht="26.4" customHeight="1" x14ac:dyDescent="0.3">
      <c r="A53" s="1">
        <v>52</v>
      </c>
      <c r="B53" s="1">
        <v>37</v>
      </c>
      <c r="C53" s="1" t="s">
        <v>9</v>
      </c>
      <c r="D53" s="1" t="s">
        <v>10</v>
      </c>
      <c r="E53" s="1">
        <v>2200</v>
      </c>
      <c r="F53" s="1" t="s">
        <v>11</v>
      </c>
    </row>
    <row r="54" spans="1:6" ht="20.399999999999999" customHeight="1" x14ac:dyDescent="0.3">
      <c r="A54" s="1">
        <v>53</v>
      </c>
      <c r="B54" s="1">
        <v>40</v>
      </c>
      <c r="C54" s="1" t="s">
        <v>6</v>
      </c>
      <c r="D54" s="1" t="s">
        <v>12</v>
      </c>
      <c r="E54" s="1">
        <v>750</v>
      </c>
      <c r="F54" s="1" t="s">
        <v>13</v>
      </c>
    </row>
    <row r="55" spans="1:6" ht="28.2" customHeight="1" x14ac:dyDescent="0.3">
      <c r="A55" s="1">
        <v>54</v>
      </c>
      <c r="B55" s="1">
        <v>18</v>
      </c>
      <c r="C55" s="1" t="s">
        <v>9</v>
      </c>
      <c r="D55" s="1" t="s">
        <v>14</v>
      </c>
      <c r="E55" s="1">
        <v>80</v>
      </c>
      <c r="F55" s="1" t="s">
        <v>8</v>
      </c>
    </row>
    <row r="56" spans="1:6" ht="22.2" customHeight="1" x14ac:dyDescent="0.3">
      <c r="A56" s="1">
        <v>55</v>
      </c>
      <c r="B56" s="1">
        <v>53</v>
      </c>
      <c r="C56" s="1" t="s">
        <v>9</v>
      </c>
      <c r="D56" s="1" t="s">
        <v>15</v>
      </c>
      <c r="E56" s="1">
        <v>3500</v>
      </c>
      <c r="F56" s="1" t="s">
        <v>8</v>
      </c>
    </row>
    <row r="57" spans="1:6" ht="25.8" customHeight="1" x14ac:dyDescent="0.3">
      <c r="A57" s="1">
        <v>56</v>
      </c>
      <c r="B57" s="1">
        <v>39</v>
      </c>
      <c r="C57" s="1" t="s">
        <v>6</v>
      </c>
      <c r="D57" s="1" t="s">
        <v>16</v>
      </c>
      <c r="E57" s="1">
        <v>1400</v>
      </c>
      <c r="F57" s="1" t="s">
        <v>11</v>
      </c>
    </row>
    <row r="58" spans="1:6" ht="24" customHeight="1" x14ac:dyDescent="0.3">
      <c r="A58" s="1">
        <v>57</v>
      </c>
      <c r="B58" s="1">
        <v>32</v>
      </c>
      <c r="C58" s="1" t="s">
        <v>9</v>
      </c>
      <c r="D58" s="1" t="s">
        <v>17</v>
      </c>
      <c r="E58" s="1">
        <v>950</v>
      </c>
      <c r="F58" s="1" t="s">
        <v>8</v>
      </c>
    </row>
    <row r="59" spans="1:6" ht="24" customHeight="1" x14ac:dyDescent="0.3">
      <c r="A59" s="1">
        <v>58</v>
      </c>
      <c r="B59" s="1">
        <v>24</v>
      </c>
      <c r="C59" s="1" t="s">
        <v>6</v>
      </c>
      <c r="D59" s="1" t="s">
        <v>18</v>
      </c>
      <c r="E59" s="1">
        <v>280</v>
      </c>
      <c r="F59" s="1" t="s">
        <v>13</v>
      </c>
    </row>
    <row r="60" spans="1:6" ht="22.8" customHeight="1" x14ac:dyDescent="0.3">
      <c r="A60" s="1">
        <v>59</v>
      </c>
      <c r="B60" s="1">
        <v>31</v>
      </c>
      <c r="C60" s="1" t="s">
        <v>9</v>
      </c>
      <c r="D60" s="1" t="s">
        <v>19</v>
      </c>
      <c r="E60" s="1">
        <v>650</v>
      </c>
      <c r="F60" s="1" t="s">
        <v>11</v>
      </c>
    </row>
    <row r="61" spans="1:6" ht="21.6" customHeight="1" x14ac:dyDescent="0.3">
      <c r="A61" s="1">
        <v>60</v>
      </c>
      <c r="B61" s="1">
        <v>50</v>
      </c>
      <c r="C61" s="1" t="s">
        <v>6</v>
      </c>
      <c r="D61" s="1" t="s">
        <v>20</v>
      </c>
      <c r="E61" s="1">
        <v>2952.999999999975</v>
      </c>
      <c r="F61" s="1"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99C27-3F3B-46FA-80D9-A22BDA822741}">
  <sheetPr codeName="Sheet9"/>
  <dimension ref="A1:M61"/>
  <sheetViews>
    <sheetView topLeftCell="B1" workbookViewId="0">
      <selection activeCell="H2" sqref="H2"/>
    </sheetView>
  </sheetViews>
  <sheetFormatPr defaultRowHeight="14.4" x14ac:dyDescent="0.3"/>
  <cols>
    <col min="1" max="1" width="14.21875" customWidth="1"/>
    <col min="2" max="2" width="14.109375" customWidth="1"/>
    <col min="3" max="3" width="14.5546875" customWidth="1"/>
    <col min="4" max="4" width="19.6640625" customWidth="1"/>
    <col min="5" max="5" width="20.109375" customWidth="1"/>
    <col min="6" max="6" width="16.33203125" customWidth="1"/>
    <col min="8" max="8" width="25" customWidth="1"/>
    <col min="9" max="9" width="22.109375" customWidth="1"/>
    <col min="10" max="10" width="19.77734375" customWidth="1"/>
    <col min="11" max="11" width="18.109375" customWidth="1"/>
    <col min="13" max="13" width="20.88671875" customWidth="1"/>
  </cols>
  <sheetData>
    <row r="1" spans="1:13" ht="26.4" customHeight="1" x14ac:dyDescent="0.35">
      <c r="A1" s="2" t="s">
        <v>0</v>
      </c>
      <c r="B1" s="2" t="s">
        <v>1</v>
      </c>
      <c r="C1" s="2" t="s">
        <v>2</v>
      </c>
      <c r="D1" s="2" t="s">
        <v>3</v>
      </c>
      <c r="E1" s="2" t="s">
        <v>4</v>
      </c>
      <c r="F1" s="2" t="s">
        <v>5</v>
      </c>
      <c r="H1" s="13" t="s">
        <v>5</v>
      </c>
      <c r="I1" s="11" t="s">
        <v>21</v>
      </c>
      <c r="J1" s="11" t="s">
        <v>22</v>
      </c>
      <c r="K1" s="11" t="s">
        <v>23</v>
      </c>
      <c r="M1" s="12" t="s">
        <v>8</v>
      </c>
    </row>
    <row r="2" spans="1:13" ht="22.2" customHeight="1" x14ac:dyDescent="0.35">
      <c r="A2" s="1">
        <v>1</v>
      </c>
      <c r="B2" s="1">
        <v>28</v>
      </c>
      <c r="C2" s="1" t="s">
        <v>6</v>
      </c>
      <c r="D2" s="1" t="s">
        <v>7</v>
      </c>
      <c r="E2" s="1">
        <v>1500</v>
      </c>
      <c r="F2" s="1" t="s">
        <v>8</v>
      </c>
      <c r="H2" s="6" t="s">
        <v>13</v>
      </c>
      <c r="I2" s="14">
        <f>J2 / $M$5</f>
        <v>0.25317886408589996</v>
      </c>
      <c r="J2" s="5">
        <f>SUMIF(F:F, H2, E:E)</f>
        <v>17920</v>
      </c>
      <c r="K2" s="5">
        <f>AVERAGEIF(F:F, H2, B:B)</f>
        <v>36.631578947368418</v>
      </c>
      <c r="M2" s="12" t="s">
        <v>11</v>
      </c>
    </row>
    <row r="3" spans="1:13" ht="23.4" customHeight="1" x14ac:dyDescent="0.35">
      <c r="A3" s="1">
        <v>2</v>
      </c>
      <c r="B3" s="1">
        <v>35</v>
      </c>
      <c r="C3" s="1" t="s">
        <v>9</v>
      </c>
      <c r="D3" s="1" t="s">
        <v>10</v>
      </c>
      <c r="E3" s="1">
        <v>2000</v>
      </c>
      <c r="F3" s="1" t="s">
        <v>11</v>
      </c>
      <c r="H3" s="6" t="s">
        <v>24</v>
      </c>
      <c r="I3" s="14">
        <f>1 - I2</f>
        <v>0.74682113591410004</v>
      </c>
      <c r="J3" s="5"/>
      <c r="K3" s="5"/>
      <c r="M3" s="12" t="s">
        <v>13</v>
      </c>
    </row>
    <row r="4" spans="1:13" ht="24" customHeight="1" x14ac:dyDescent="0.35">
      <c r="A4" s="1">
        <v>3</v>
      </c>
      <c r="B4" s="1">
        <v>42</v>
      </c>
      <c r="C4" s="1" t="s">
        <v>6</v>
      </c>
      <c r="D4" s="1" t="s">
        <v>12</v>
      </c>
      <c r="E4" s="1">
        <v>500</v>
      </c>
      <c r="F4" s="1" t="s">
        <v>13</v>
      </c>
      <c r="M4" s="12"/>
    </row>
    <row r="5" spans="1:13" ht="22.8" customHeight="1" x14ac:dyDescent="0.35">
      <c r="A5" s="1">
        <v>4</v>
      </c>
      <c r="B5" s="1">
        <v>19</v>
      </c>
      <c r="C5" s="1" t="s">
        <v>9</v>
      </c>
      <c r="D5" s="1" t="s">
        <v>14</v>
      </c>
      <c r="E5" s="1">
        <v>100</v>
      </c>
      <c r="F5" s="1" t="s">
        <v>8</v>
      </c>
      <c r="M5" s="12">
        <f>SUM(E2:E61)</f>
        <v>70780</v>
      </c>
    </row>
    <row r="6" spans="1:13" ht="34.799999999999997" customHeight="1" x14ac:dyDescent="0.3">
      <c r="A6" s="1">
        <v>5</v>
      </c>
      <c r="B6" s="1">
        <v>56</v>
      </c>
      <c r="C6" s="1" t="s">
        <v>9</v>
      </c>
      <c r="D6" s="1" t="s">
        <v>15</v>
      </c>
      <c r="E6" s="1">
        <v>3000</v>
      </c>
      <c r="F6" s="1" t="s">
        <v>8</v>
      </c>
    </row>
    <row r="7" spans="1:13" ht="22.2" customHeight="1" x14ac:dyDescent="0.3">
      <c r="A7" s="1">
        <v>6</v>
      </c>
      <c r="B7" s="1">
        <v>41</v>
      </c>
      <c r="C7" s="1" t="s">
        <v>6</v>
      </c>
      <c r="D7" s="1" t="s">
        <v>16</v>
      </c>
      <c r="E7" s="1">
        <v>1200</v>
      </c>
      <c r="F7" s="1" t="s">
        <v>11</v>
      </c>
    </row>
    <row r="8" spans="1:13" ht="22.8" customHeight="1" x14ac:dyDescent="0.3">
      <c r="A8" s="1">
        <v>7</v>
      </c>
      <c r="B8" s="1">
        <v>33</v>
      </c>
      <c r="C8" s="1" t="s">
        <v>9</v>
      </c>
      <c r="D8" s="1" t="s">
        <v>17</v>
      </c>
      <c r="E8" s="1">
        <v>800</v>
      </c>
      <c r="F8" s="1" t="s">
        <v>8</v>
      </c>
    </row>
    <row r="9" spans="1:13" ht="24.6" customHeight="1" x14ac:dyDescent="0.3">
      <c r="A9" s="1">
        <v>8</v>
      </c>
      <c r="B9" s="1">
        <v>24</v>
      </c>
      <c r="C9" s="1" t="s">
        <v>6</v>
      </c>
      <c r="D9" s="1" t="s">
        <v>18</v>
      </c>
      <c r="E9" s="1">
        <v>250</v>
      </c>
      <c r="F9" s="1" t="s">
        <v>13</v>
      </c>
    </row>
    <row r="10" spans="1:13" ht="26.4" customHeight="1" x14ac:dyDescent="0.3">
      <c r="A10" s="1">
        <v>9</v>
      </c>
      <c r="B10" s="1">
        <v>29</v>
      </c>
      <c r="C10" s="1" t="s">
        <v>9</v>
      </c>
      <c r="D10" s="1" t="s">
        <v>19</v>
      </c>
      <c r="E10" s="1">
        <v>700</v>
      </c>
      <c r="F10" s="1" t="s">
        <v>11</v>
      </c>
    </row>
    <row r="11" spans="1:13" ht="18" x14ac:dyDescent="0.3">
      <c r="A11" s="1">
        <v>10</v>
      </c>
      <c r="B11" s="1">
        <v>45</v>
      </c>
      <c r="C11" s="1" t="s">
        <v>6</v>
      </c>
      <c r="D11" s="1" t="s">
        <v>20</v>
      </c>
      <c r="E11" s="1">
        <v>1800</v>
      </c>
      <c r="F11" s="1" t="s">
        <v>13</v>
      </c>
    </row>
    <row r="12" spans="1:13" ht="18" x14ac:dyDescent="0.3">
      <c r="A12" s="1">
        <v>11</v>
      </c>
      <c r="B12" s="1">
        <v>31</v>
      </c>
      <c r="C12" s="1" t="s">
        <v>6</v>
      </c>
      <c r="D12" s="1" t="s">
        <v>7</v>
      </c>
      <c r="E12" s="1">
        <v>900</v>
      </c>
      <c r="F12" s="1" t="s">
        <v>8</v>
      </c>
    </row>
    <row r="13" spans="1:13" ht="18" x14ac:dyDescent="0.3">
      <c r="A13" s="1">
        <v>12</v>
      </c>
      <c r="B13" s="1">
        <v>39</v>
      </c>
      <c r="C13" s="1" t="s">
        <v>9</v>
      </c>
      <c r="D13" s="1" t="s">
        <v>10</v>
      </c>
      <c r="E13" s="1">
        <v>1500</v>
      </c>
      <c r="F13" s="1" t="s">
        <v>11</v>
      </c>
    </row>
    <row r="14" spans="1:13" ht="18" x14ac:dyDescent="0.3">
      <c r="A14" s="1">
        <v>13</v>
      </c>
      <c r="B14" s="1">
        <v>37</v>
      </c>
      <c r="C14" s="1" t="s">
        <v>6</v>
      </c>
      <c r="D14" s="1" t="s">
        <v>12</v>
      </c>
      <c r="E14" s="1">
        <v>600</v>
      </c>
      <c r="F14" s="1" t="s">
        <v>13</v>
      </c>
    </row>
    <row r="15" spans="1:13" ht="18" x14ac:dyDescent="0.3">
      <c r="A15" s="1">
        <v>14</v>
      </c>
      <c r="B15" s="1">
        <v>22</v>
      </c>
      <c r="C15" s="1" t="s">
        <v>9</v>
      </c>
      <c r="D15" s="1" t="s">
        <v>14</v>
      </c>
      <c r="E15" s="1">
        <v>200</v>
      </c>
      <c r="F15" s="1" t="s">
        <v>8</v>
      </c>
    </row>
    <row r="16" spans="1:13" ht="18" x14ac:dyDescent="0.3">
      <c r="A16" s="1">
        <v>15</v>
      </c>
      <c r="B16" s="1">
        <v>44</v>
      </c>
      <c r="C16" s="1" t="s">
        <v>9</v>
      </c>
      <c r="D16" s="1" t="s">
        <v>15</v>
      </c>
      <c r="E16" s="1">
        <v>2500</v>
      </c>
      <c r="F16" s="1" t="s">
        <v>8</v>
      </c>
    </row>
    <row r="17" spans="1:6" ht="18" x14ac:dyDescent="0.3">
      <c r="A17" s="1">
        <v>16</v>
      </c>
      <c r="B17" s="1">
        <v>27</v>
      </c>
      <c r="C17" s="1" t="s">
        <v>6</v>
      </c>
      <c r="D17" s="1" t="s">
        <v>16</v>
      </c>
      <c r="E17" s="1">
        <v>1100</v>
      </c>
      <c r="F17" s="1" t="s">
        <v>11</v>
      </c>
    </row>
    <row r="18" spans="1:6" ht="18" x14ac:dyDescent="0.3">
      <c r="A18" s="1">
        <v>17</v>
      </c>
      <c r="B18" s="1">
        <v>30</v>
      </c>
      <c r="C18" s="1" t="s">
        <v>9</v>
      </c>
      <c r="D18" s="1" t="s">
        <v>17</v>
      </c>
      <c r="E18" s="1">
        <v>1200</v>
      </c>
      <c r="F18" s="1" t="s">
        <v>8</v>
      </c>
    </row>
    <row r="19" spans="1:6" ht="18" x14ac:dyDescent="0.3">
      <c r="A19" s="1">
        <v>18</v>
      </c>
      <c r="B19" s="1">
        <v>26</v>
      </c>
      <c r="C19" s="1" t="s">
        <v>6</v>
      </c>
      <c r="D19" s="1" t="s">
        <v>18</v>
      </c>
      <c r="E19" s="1">
        <v>350</v>
      </c>
      <c r="F19" s="1" t="s">
        <v>13</v>
      </c>
    </row>
    <row r="20" spans="1:6" ht="18" x14ac:dyDescent="0.3">
      <c r="A20" s="1">
        <v>19</v>
      </c>
      <c r="B20" s="1">
        <v>34</v>
      </c>
      <c r="C20" s="1" t="s">
        <v>9</v>
      </c>
      <c r="D20" s="1" t="s">
        <v>19</v>
      </c>
      <c r="E20" s="1">
        <v>800</v>
      </c>
      <c r="F20" s="1" t="s">
        <v>11</v>
      </c>
    </row>
    <row r="21" spans="1:6" ht="18" x14ac:dyDescent="0.3">
      <c r="A21" s="1">
        <v>20</v>
      </c>
      <c r="B21" s="1">
        <v>48</v>
      </c>
      <c r="C21" s="1" t="s">
        <v>6</v>
      </c>
      <c r="D21" s="1" t="s">
        <v>20</v>
      </c>
      <c r="E21" s="1">
        <v>2000</v>
      </c>
      <c r="F21" s="1" t="s">
        <v>13</v>
      </c>
    </row>
    <row r="22" spans="1:6" ht="18" x14ac:dyDescent="0.3">
      <c r="A22" s="1">
        <v>21</v>
      </c>
      <c r="B22" s="1">
        <v>39</v>
      </c>
      <c r="C22" s="1" t="s">
        <v>9</v>
      </c>
      <c r="D22" s="1" t="s">
        <v>7</v>
      </c>
      <c r="E22" s="1">
        <v>800</v>
      </c>
      <c r="F22" s="1" t="s">
        <v>8</v>
      </c>
    </row>
    <row r="23" spans="1:6" ht="18" x14ac:dyDescent="0.3">
      <c r="A23" s="1">
        <v>22</v>
      </c>
      <c r="B23" s="1">
        <v>28</v>
      </c>
      <c r="C23" s="1" t="s">
        <v>6</v>
      </c>
      <c r="D23" s="1" t="s">
        <v>10</v>
      </c>
      <c r="E23" s="1">
        <v>1200</v>
      </c>
      <c r="F23" s="1" t="s">
        <v>11</v>
      </c>
    </row>
    <row r="24" spans="1:6" ht="18" x14ac:dyDescent="0.3">
      <c r="A24" s="1">
        <v>23</v>
      </c>
      <c r="B24" s="1">
        <v>43</v>
      </c>
      <c r="C24" s="1" t="s">
        <v>6</v>
      </c>
      <c r="D24" s="1" t="s">
        <v>12</v>
      </c>
      <c r="E24" s="1">
        <v>700</v>
      </c>
      <c r="F24" s="1" t="s">
        <v>13</v>
      </c>
    </row>
    <row r="25" spans="1:6" ht="18" x14ac:dyDescent="0.3">
      <c r="A25" s="1">
        <v>24</v>
      </c>
      <c r="B25" s="1">
        <v>21</v>
      </c>
      <c r="C25" s="1" t="s">
        <v>9</v>
      </c>
      <c r="D25" s="1" t="s">
        <v>14</v>
      </c>
      <c r="E25" s="1">
        <v>150</v>
      </c>
      <c r="F25" s="1" t="s">
        <v>8</v>
      </c>
    </row>
    <row r="26" spans="1:6" ht="18" x14ac:dyDescent="0.3">
      <c r="A26" s="1">
        <v>25</v>
      </c>
      <c r="B26" s="1">
        <v>55</v>
      </c>
      <c r="C26" s="1" t="s">
        <v>9</v>
      </c>
      <c r="D26" s="1" t="s">
        <v>15</v>
      </c>
      <c r="E26" s="1">
        <v>2800</v>
      </c>
      <c r="F26" s="1" t="s">
        <v>8</v>
      </c>
    </row>
    <row r="27" spans="1:6" ht="18" x14ac:dyDescent="0.3">
      <c r="A27" s="1">
        <v>26</v>
      </c>
      <c r="B27" s="1">
        <v>40</v>
      </c>
      <c r="C27" s="1" t="s">
        <v>6</v>
      </c>
      <c r="D27" s="1" t="s">
        <v>16</v>
      </c>
      <c r="E27" s="1">
        <v>1300</v>
      </c>
      <c r="F27" s="1" t="s">
        <v>11</v>
      </c>
    </row>
    <row r="28" spans="1:6" ht="18" x14ac:dyDescent="0.3">
      <c r="A28" s="1">
        <v>27</v>
      </c>
      <c r="B28" s="1">
        <v>32</v>
      </c>
      <c r="C28" s="1" t="s">
        <v>9</v>
      </c>
      <c r="D28" s="1" t="s">
        <v>17</v>
      </c>
      <c r="E28" s="1">
        <v>900</v>
      </c>
      <c r="F28" s="1" t="s">
        <v>8</v>
      </c>
    </row>
    <row r="29" spans="1:6" ht="18" x14ac:dyDescent="0.3">
      <c r="A29" s="1">
        <v>28</v>
      </c>
      <c r="B29" s="1">
        <v>23</v>
      </c>
      <c r="C29" s="1" t="s">
        <v>6</v>
      </c>
      <c r="D29" s="1" t="s">
        <v>18</v>
      </c>
      <c r="E29" s="1">
        <v>300</v>
      </c>
      <c r="F29" s="1" t="s">
        <v>13</v>
      </c>
    </row>
    <row r="30" spans="1:6" ht="18" x14ac:dyDescent="0.3">
      <c r="A30" s="1">
        <v>29</v>
      </c>
      <c r="B30" s="1">
        <v>27</v>
      </c>
      <c r="C30" s="1" t="s">
        <v>9</v>
      </c>
      <c r="D30" s="1" t="s">
        <v>19</v>
      </c>
      <c r="E30" s="1">
        <v>600</v>
      </c>
      <c r="F30" s="1" t="s">
        <v>11</v>
      </c>
    </row>
    <row r="31" spans="1:6" ht="18" x14ac:dyDescent="0.3">
      <c r="A31" s="1">
        <v>30</v>
      </c>
      <c r="B31" s="1">
        <v>46</v>
      </c>
      <c r="C31" s="1" t="s">
        <v>6</v>
      </c>
      <c r="D31" s="1" t="s">
        <v>20</v>
      </c>
      <c r="E31" s="1">
        <v>1700</v>
      </c>
      <c r="F31" s="1" t="s">
        <v>13</v>
      </c>
    </row>
    <row r="32" spans="1:6" ht="18" x14ac:dyDescent="0.3">
      <c r="A32" s="1">
        <v>31</v>
      </c>
      <c r="B32" s="1">
        <v>36</v>
      </c>
      <c r="C32" s="1" t="s">
        <v>6</v>
      </c>
      <c r="D32" s="1" t="s">
        <v>7</v>
      </c>
      <c r="E32" s="1">
        <v>1400</v>
      </c>
      <c r="F32" s="1" t="s">
        <v>8</v>
      </c>
    </row>
    <row r="33" spans="1:6" ht="18" x14ac:dyDescent="0.3">
      <c r="A33" s="1">
        <v>32</v>
      </c>
      <c r="B33" s="1">
        <v>38</v>
      </c>
      <c r="C33" s="1" t="s">
        <v>9</v>
      </c>
      <c r="D33" s="1" t="s">
        <v>10</v>
      </c>
      <c r="E33" s="1">
        <v>1800</v>
      </c>
      <c r="F33" s="1" t="s">
        <v>11</v>
      </c>
    </row>
    <row r="34" spans="1:6" ht="18" x14ac:dyDescent="0.3">
      <c r="A34" s="1">
        <v>33</v>
      </c>
      <c r="B34" s="1">
        <v>41</v>
      </c>
      <c r="C34" s="1" t="s">
        <v>6</v>
      </c>
      <c r="D34" s="1" t="s">
        <v>12</v>
      </c>
      <c r="E34" s="1">
        <v>900</v>
      </c>
      <c r="F34" s="1" t="s">
        <v>13</v>
      </c>
    </row>
    <row r="35" spans="1:6" ht="18" x14ac:dyDescent="0.3">
      <c r="A35" s="1">
        <v>34</v>
      </c>
      <c r="B35" s="1">
        <v>20</v>
      </c>
      <c r="C35" s="1" t="s">
        <v>9</v>
      </c>
      <c r="D35" s="1" t="s">
        <v>14</v>
      </c>
      <c r="E35" s="1">
        <v>120</v>
      </c>
      <c r="F35" s="1" t="s">
        <v>13</v>
      </c>
    </row>
    <row r="36" spans="1:6" ht="18" x14ac:dyDescent="0.3">
      <c r="A36" s="1">
        <v>35</v>
      </c>
      <c r="B36" s="1">
        <v>57</v>
      </c>
      <c r="C36" s="1" t="s">
        <v>9</v>
      </c>
      <c r="D36" s="1" t="s">
        <v>15</v>
      </c>
      <c r="E36" s="1">
        <v>3200</v>
      </c>
      <c r="F36" s="1" t="s">
        <v>8</v>
      </c>
    </row>
    <row r="37" spans="1:6" ht="18" x14ac:dyDescent="0.3">
      <c r="A37" s="1">
        <v>36</v>
      </c>
      <c r="B37" s="1">
        <v>43</v>
      </c>
      <c r="C37" s="1" t="s">
        <v>6</v>
      </c>
      <c r="D37" s="1" t="s">
        <v>16</v>
      </c>
      <c r="E37" s="1">
        <v>1400</v>
      </c>
      <c r="F37" s="1" t="s">
        <v>11</v>
      </c>
    </row>
    <row r="38" spans="1:6" ht="18" x14ac:dyDescent="0.3">
      <c r="A38" s="1">
        <v>37</v>
      </c>
      <c r="B38" s="1">
        <v>34</v>
      </c>
      <c r="C38" s="1" t="s">
        <v>9</v>
      </c>
      <c r="D38" s="1" t="s">
        <v>17</v>
      </c>
      <c r="E38" s="1">
        <v>1000</v>
      </c>
      <c r="F38" s="1" t="s">
        <v>8</v>
      </c>
    </row>
    <row r="39" spans="1:6" ht="18" x14ac:dyDescent="0.3">
      <c r="A39" s="1">
        <v>38</v>
      </c>
      <c r="B39" s="1">
        <v>25</v>
      </c>
      <c r="C39" s="1" t="s">
        <v>6</v>
      </c>
      <c r="D39" s="1" t="s">
        <v>18</v>
      </c>
      <c r="E39" s="1">
        <v>400</v>
      </c>
      <c r="F39" s="1" t="s">
        <v>13</v>
      </c>
    </row>
    <row r="40" spans="1:6" ht="18" x14ac:dyDescent="0.3">
      <c r="A40" s="1">
        <v>39</v>
      </c>
      <c r="B40" s="1">
        <v>33</v>
      </c>
      <c r="C40" s="1" t="s">
        <v>9</v>
      </c>
      <c r="D40" s="1" t="s">
        <v>19</v>
      </c>
      <c r="E40" s="1">
        <v>750</v>
      </c>
      <c r="F40" s="1" t="s">
        <v>11</v>
      </c>
    </row>
    <row r="41" spans="1:6" ht="18" x14ac:dyDescent="0.3">
      <c r="A41" s="1">
        <v>40</v>
      </c>
      <c r="B41" s="1">
        <v>47</v>
      </c>
      <c r="C41" s="1" t="s">
        <v>6</v>
      </c>
      <c r="D41" s="1" t="s">
        <v>20</v>
      </c>
      <c r="E41" s="1">
        <v>1900</v>
      </c>
      <c r="F41" s="1" t="s">
        <v>13</v>
      </c>
    </row>
    <row r="42" spans="1:6" ht="18" x14ac:dyDescent="0.3">
      <c r="A42" s="1">
        <v>41</v>
      </c>
      <c r="B42" s="1">
        <v>30</v>
      </c>
      <c r="C42" s="1" t="s">
        <v>9</v>
      </c>
      <c r="D42" s="1" t="s">
        <v>7</v>
      </c>
      <c r="E42" s="1">
        <v>950</v>
      </c>
      <c r="F42" s="1" t="s">
        <v>8</v>
      </c>
    </row>
    <row r="43" spans="1:6" ht="18" x14ac:dyDescent="0.3">
      <c r="A43" s="1">
        <v>42</v>
      </c>
      <c r="B43" s="1">
        <v>29</v>
      </c>
      <c r="C43" s="1" t="s">
        <v>6</v>
      </c>
      <c r="D43" s="1" t="s">
        <v>10</v>
      </c>
      <c r="E43" s="1">
        <v>1100</v>
      </c>
      <c r="F43" s="1" t="s">
        <v>11</v>
      </c>
    </row>
    <row r="44" spans="1:6" ht="18" x14ac:dyDescent="0.3">
      <c r="A44" s="1">
        <v>43</v>
      </c>
      <c r="B44" s="1">
        <v>44</v>
      </c>
      <c r="C44" s="1" t="s">
        <v>6</v>
      </c>
      <c r="D44" s="1" t="s">
        <v>12</v>
      </c>
      <c r="E44" s="1">
        <v>650</v>
      </c>
      <c r="F44" s="1" t="s">
        <v>13</v>
      </c>
    </row>
    <row r="45" spans="1:6" ht="18" x14ac:dyDescent="0.3">
      <c r="A45" s="1">
        <v>44</v>
      </c>
      <c r="B45" s="1">
        <v>23</v>
      </c>
      <c r="C45" s="1" t="s">
        <v>9</v>
      </c>
      <c r="D45" s="1" t="s">
        <v>14</v>
      </c>
      <c r="E45" s="1">
        <v>180</v>
      </c>
      <c r="F45" s="1" t="s">
        <v>8</v>
      </c>
    </row>
    <row r="46" spans="1:6" ht="18" x14ac:dyDescent="0.3">
      <c r="A46" s="1">
        <v>45</v>
      </c>
      <c r="B46" s="1">
        <v>54</v>
      </c>
      <c r="C46" s="1" t="s">
        <v>9</v>
      </c>
      <c r="D46" s="1" t="s">
        <v>15</v>
      </c>
      <c r="E46" s="1">
        <v>2700</v>
      </c>
      <c r="F46" s="1" t="s">
        <v>8</v>
      </c>
    </row>
    <row r="47" spans="1:6" ht="18" x14ac:dyDescent="0.3">
      <c r="A47" s="1">
        <v>46</v>
      </c>
      <c r="B47" s="1">
        <v>42</v>
      </c>
      <c r="C47" s="1" t="s">
        <v>6</v>
      </c>
      <c r="D47" s="1" t="s">
        <v>16</v>
      </c>
      <c r="E47" s="1">
        <v>1250</v>
      </c>
      <c r="F47" s="1" t="s">
        <v>11</v>
      </c>
    </row>
    <row r="48" spans="1:6" ht="18" x14ac:dyDescent="0.3">
      <c r="A48" s="1">
        <v>47</v>
      </c>
      <c r="B48" s="1">
        <v>31</v>
      </c>
      <c r="C48" s="1" t="s">
        <v>9</v>
      </c>
      <c r="D48" s="1" t="s">
        <v>17</v>
      </c>
      <c r="E48" s="1">
        <v>850</v>
      </c>
      <c r="F48" s="1" t="s">
        <v>8</v>
      </c>
    </row>
    <row r="49" spans="1:6" ht="18" x14ac:dyDescent="0.3">
      <c r="A49" s="1">
        <v>48</v>
      </c>
      <c r="B49" s="1">
        <v>22</v>
      </c>
      <c r="C49" s="1" t="s">
        <v>6</v>
      </c>
      <c r="D49" s="1" t="s">
        <v>18</v>
      </c>
      <c r="E49" s="1">
        <v>320</v>
      </c>
      <c r="F49" s="1" t="s">
        <v>13</v>
      </c>
    </row>
    <row r="50" spans="1:6" ht="18" x14ac:dyDescent="0.3">
      <c r="A50" s="1">
        <v>49</v>
      </c>
      <c r="B50" s="1">
        <v>28</v>
      </c>
      <c r="C50" s="1" t="s">
        <v>9</v>
      </c>
      <c r="D50" s="1" t="s">
        <v>19</v>
      </c>
      <c r="E50" s="1">
        <v>650</v>
      </c>
      <c r="F50" s="1" t="s">
        <v>11</v>
      </c>
    </row>
    <row r="51" spans="1:6" ht="18" x14ac:dyDescent="0.3">
      <c r="A51" s="1">
        <v>50</v>
      </c>
      <c r="B51" s="1">
        <v>49</v>
      </c>
      <c r="C51" s="1" t="s">
        <v>6</v>
      </c>
      <c r="D51" s="1" t="s">
        <v>20</v>
      </c>
      <c r="E51" s="1">
        <v>2100</v>
      </c>
      <c r="F51" s="1" t="s">
        <v>13</v>
      </c>
    </row>
    <row r="52" spans="1:6" ht="18" x14ac:dyDescent="0.3">
      <c r="A52" s="1">
        <v>51</v>
      </c>
      <c r="B52" s="1">
        <v>35</v>
      </c>
      <c r="C52" s="1" t="s">
        <v>6</v>
      </c>
      <c r="D52" s="1" t="s">
        <v>7</v>
      </c>
      <c r="E52" s="1">
        <v>1600</v>
      </c>
      <c r="F52" s="1" t="s">
        <v>8</v>
      </c>
    </row>
    <row r="53" spans="1:6" ht="18" x14ac:dyDescent="0.3">
      <c r="A53" s="1">
        <v>52</v>
      </c>
      <c r="B53" s="1">
        <v>37</v>
      </c>
      <c r="C53" s="1" t="s">
        <v>9</v>
      </c>
      <c r="D53" s="1" t="s">
        <v>10</v>
      </c>
      <c r="E53" s="1">
        <v>2200</v>
      </c>
      <c r="F53" s="1" t="s">
        <v>11</v>
      </c>
    </row>
    <row r="54" spans="1:6" ht="18" x14ac:dyDescent="0.3">
      <c r="A54" s="1">
        <v>53</v>
      </c>
      <c r="B54" s="1">
        <v>40</v>
      </c>
      <c r="C54" s="1" t="s">
        <v>6</v>
      </c>
      <c r="D54" s="1" t="s">
        <v>12</v>
      </c>
      <c r="E54" s="1">
        <v>750</v>
      </c>
      <c r="F54" s="1" t="s">
        <v>13</v>
      </c>
    </row>
    <row r="55" spans="1:6" ht="18" x14ac:dyDescent="0.3">
      <c r="A55" s="1">
        <v>54</v>
      </c>
      <c r="B55" s="1">
        <v>18</v>
      </c>
      <c r="C55" s="1" t="s">
        <v>9</v>
      </c>
      <c r="D55" s="1" t="s">
        <v>14</v>
      </c>
      <c r="E55" s="1">
        <v>80</v>
      </c>
      <c r="F55" s="1" t="s">
        <v>8</v>
      </c>
    </row>
    <row r="56" spans="1:6" ht="18" x14ac:dyDescent="0.3">
      <c r="A56" s="1">
        <v>55</v>
      </c>
      <c r="B56" s="1">
        <v>53</v>
      </c>
      <c r="C56" s="1" t="s">
        <v>9</v>
      </c>
      <c r="D56" s="1" t="s">
        <v>15</v>
      </c>
      <c r="E56" s="1">
        <v>3500</v>
      </c>
      <c r="F56" s="1" t="s">
        <v>8</v>
      </c>
    </row>
    <row r="57" spans="1:6" ht="18" x14ac:dyDescent="0.3">
      <c r="A57" s="1">
        <v>56</v>
      </c>
      <c r="B57" s="1">
        <v>39</v>
      </c>
      <c r="C57" s="1" t="s">
        <v>6</v>
      </c>
      <c r="D57" s="1" t="s">
        <v>16</v>
      </c>
      <c r="E57" s="1">
        <v>1400</v>
      </c>
      <c r="F57" s="1" t="s">
        <v>11</v>
      </c>
    </row>
    <row r="58" spans="1:6" ht="18" x14ac:dyDescent="0.3">
      <c r="A58" s="1">
        <v>57</v>
      </c>
      <c r="B58" s="1">
        <v>32</v>
      </c>
      <c r="C58" s="1" t="s">
        <v>9</v>
      </c>
      <c r="D58" s="1" t="s">
        <v>17</v>
      </c>
      <c r="E58" s="1">
        <v>950</v>
      </c>
      <c r="F58" s="1" t="s">
        <v>8</v>
      </c>
    </row>
    <row r="59" spans="1:6" ht="18" x14ac:dyDescent="0.3">
      <c r="A59" s="1">
        <v>58</v>
      </c>
      <c r="B59" s="1">
        <v>24</v>
      </c>
      <c r="C59" s="1" t="s">
        <v>6</v>
      </c>
      <c r="D59" s="1" t="s">
        <v>18</v>
      </c>
      <c r="E59" s="1">
        <v>280</v>
      </c>
      <c r="F59" s="1" t="s">
        <v>13</v>
      </c>
    </row>
    <row r="60" spans="1:6" ht="18" x14ac:dyDescent="0.3">
      <c r="A60" s="1">
        <v>59</v>
      </c>
      <c r="B60" s="1">
        <v>31</v>
      </c>
      <c r="C60" s="1" t="s">
        <v>9</v>
      </c>
      <c r="D60" s="1" t="s">
        <v>19</v>
      </c>
      <c r="E60" s="1">
        <v>650</v>
      </c>
      <c r="F60" s="1" t="s">
        <v>11</v>
      </c>
    </row>
    <row r="61" spans="1:6" ht="18" x14ac:dyDescent="0.3">
      <c r="A61" s="1">
        <v>60</v>
      </c>
      <c r="B61" s="1">
        <v>50</v>
      </c>
      <c r="C61" s="1" t="s">
        <v>6</v>
      </c>
      <c r="D61" s="1" t="s">
        <v>20</v>
      </c>
      <c r="E61" s="1">
        <v>2300</v>
      </c>
      <c r="F61" s="1" t="s">
        <v>13</v>
      </c>
    </row>
  </sheetData>
  <dataValidations count="1">
    <dataValidation type="list" allowBlank="1" showInputMessage="1" showErrorMessage="1" sqref="H2" xr:uid="{B12F4C1A-1DD9-45CA-9C10-C7AB57F8CA6E}">
      <formula1>$M$1:$M$3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BAD9-F16B-47F1-8E91-24C4918B0755}">
  <sheetPr codeName="Sheet11"/>
  <dimension ref="A1:C6"/>
  <sheetViews>
    <sheetView workbookViewId="0">
      <selection activeCell="B6" sqref="B6"/>
    </sheetView>
  </sheetViews>
  <sheetFormatPr defaultRowHeight="14.4" x14ac:dyDescent="0.3"/>
  <cols>
    <col min="1" max="1" width="30.77734375" customWidth="1"/>
    <col min="2" max="2" width="19" customWidth="1"/>
    <col min="3" max="3" width="19.109375" customWidth="1"/>
    <col min="8" max="11" width="8.88671875" customWidth="1"/>
  </cols>
  <sheetData>
    <row r="1" spans="1:3" ht="17.399999999999999" x14ac:dyDescent="0.3">
      <c r="A1" s="4" t="s">
        <v>31</v>
      </c>
      <c r="B1" s="4" t="s">
        <v>32</v>
      </c>
      <c r="C1" s="15"/>
    </row>
    <row r="2" spans="1:3" ht="24.6" customHeight="1" x14ac:dyDescent="0.3">
      <c r="A2" s="5" t="s">
        <v>5</v>
      </c>
      <c r="B2" s="5" t="str">
        <f>'Dashboard Data'!H2</f>
        <v>Home Decor</v>
      </c>
      <c r="C2" s="16"/>
    </row>
    <row r="3" spans="1:3" ht="25.2" customHeight="1" x14ac:dyDescent="0.3">
      <c r="A3" s="5" t="s">
        <v>21</v>
      </c>
      <c r="B3" s="18">
        <f>'Dashboard Data'!I2</f>
        <v>0.25317886408589996</v>
      </c>
      <c r="C3" s="15"/>
    </row>
    <row r="4" spans="1:3" ht="25.8" customHeight="1" x14ac:dyDescent="0.35">
      <c r="A4" s="6" t="s">
        <v>33</v>
      </c>
      <c r="B4" s="19">
        <f>'Dashboard Data'!I3</f>
        <v>0.74682113591410004</v>
      </c>
      <c r="C4" s="17"/>
    </row>
    <row r="5" spans="1:3" ht="27" customHeight="1" x14ac:dyDescent="0.35">
      <c r="A5" s="6" t="s">
        <v>34</v>
      </c>
      <c r="B5" s="6">
        <f>'Dashboard Data'!J2</f>
        <v>17920</v>
      </c>
      <c r="C5" s="17"/>
    </row>
    <row r="6" spans="1:3" ht="25.8" customHeight="1" x14ac:dyDescent="0.35">
      <c r="A6" s="6" t="s">
        <v>23</v>
      </c>
      <c r="B6" s="6">
        <f>'Dashboard Data'!K2</f>
        <v>36.631578947368418</v>
      </c>
      <c r="C6" s="1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88E8A-B7C3-4A8F-8404-5CC44DFCDCAA}">
  <sheetPr codeName="Sheet12"/>
  <dimension ref="A1:B4"/>
  <sheetViews>
    <sheetView workbookViewId="0">
      <selection activeCell="B4" sqref="B4"/>
    </sheetView>
  </sheetViews>
  <sheetFormatPr defaultRowHeight="14.4" x14ac:dyDescent="0.3"/>
  <cols>
    <col min="1" max="1" width="29.109375" customWidth="1"/>
    <col min="2" max="2" width="19" customWidth="1"/>
  </cols>
  <sheetData>
    <row r="1" spans="1:2" ht="28.8" customHeight="1" x14ac:dyDescent="0.35">
      <c r="A1" s="6" t="s">
        <v>5</v>
      </c>
      <c r="B1" s="6" t="s">
        <v>34</v>
      </c>
    </row>
    <row r="2" spans="1:2" ht="20.399999999999999" customHeight="1" x14ac:dyDescent="0.35">
      <c r="A2" s="6" t="s">
        <v>8</v>
      </c>
      <c r="B2" s="6">
        <f>SUMIF('Dashboard Data'!F:F,"Electronics",'Dashboard Data'!E:E)</f>
        <v>31260</v>
      </c>
    </row>
    <row r="3" spans="1:2" ht="25.2" customHeight="1" x14ac:dyDescent="0.35">
      <c r="A3" s="6" t="s">
        <v>11</v>
      </c>
      <c r="B3" s="6">
        <f>SUMIF('Dashboard Data'!F:F,"Clothing",'Dashboard Data'!E:E)</f>
        <v>21600</v>
      </c>
    </row>
    <row r="4" spans="1:2" ht="24.6" customHeight="1" x14ac:dyDescent="0.35">
      <c r="A4" s="6" t="s">
        <v>30</v>
      </c>
      <c r="B4" s="6">
        <f>SUMIF('Dashboard Data'!F:F,"Home Decor",'Dashboard Data'!E:E)</f>
        <v>17920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AB59B-6D41-4EE9-8F0D-EC4AE280C626}">
  <sheetPr codeName="Sheet13"/>
  <dimension ref="A1:F61"/>
  <sheetViews>
    <sheetView topLeftCell="A5" workbookViewId="0">
      <selection sqref="A1:F61"/>
    </sheetView>
  </sheetViews>
  <sheetFormatPr defaultRowHeight="14.4" x14ac:dyDescent="0.3"/>
  <cols>
    <col min="1" max="1" width="19.88671875" customWidth="1"/>
    <col min="2" max="2" width="18.6640625" customWidth="1"/>
    <col min="3" max="3" width="20" customWidth="1"/>
    <col min="4" max="4" width="19.5546875" customWidth="1"/>
    <col min="5" max="5" width="17.5546875" customWidth="1"/>
    <col min="6" max="6" width="18.44140625" customWidth="1"/>
  </cols>
  <sheetData>
    <row r="1" spans="1:6" ht="69.599999999999994" x14ac:dyDescent="0.3">
      <c r="A1" s="2" t="s">
        <v>0</v>
      </c>
      <c r="B1" s="2" t="s">
        <v>1</v>
      </c>
      <c r="C1" s="2" t="s">
        <v>2</v>
      </c>
      <c r="D1" s="2" t="s">
        <v>3</v>
      </c>
      <c r="E1" s="2" t="s">
        <v>4</v>
      </c>
      <c r="F1" s="2" t="s">
        <v>5</v>
      </c>
    </row>
    <row r="2" spans="1:6" ht="36" x14ac:dyDescent="0.3">
      <c r="A2" s="1">
        <v>1</v>
      </c>
      <c r="B2" s="1">
        <v>28</v>
      </c>
      <c r="C2" s="1" t="s">
        <v>6</v>
      </c>
      <c r="D2" s="1" t="s">
        <v>7</v>
      </c>
      <c r="E2" s="1">
        <v>1500</v>
      </c>
      <c r="F2" s="1" t="s">
        <v>8</v>
      </c>
    </row>
    <row r="3" spans="1:6" ht="54" x14ac:dyDescent="0.3">
      <c r="A3" s="1">
        <v>2</v>
      </c>
      <c r="B3" s="1">
        <v>35</v>
      </c>
      <c r="C3" s="1" t="s">
        <v>9</v>
      </c>
      <c r="D3" s="1" t="s">
        <v>10</v>
      </c>
      <c r="E3" s="1">
        <v>2000</v>
      </c>
      <c r="F3" s="1" t="s">
        <v>11</v>
      </c>
    </row>
    <row r="4" spans="1:6" ht="36" x14ac:dyDescent="0.3">
      <c r="A4" s="1">
        <v>3</v>
      </c>
      <c r="B4" s="1">
        <v>42</v>
      </c>
      <c r="C4" s="1" t="s">
        <v>6</v>
      </c>
      <c r="D4" s="1" t="s">
        <v>12</v>
      </c>
      <c r="E4" s="1">
        <v>500</v>
      </c>
      <c r="F4" s="1" t="s">
        <v>13</v>
      </c>
    </row>
    <row r="5" spans="1:6" ht="36" x14ac:dyDescent="0.3">
      <c r="A5" s="1">
        <v>4</v>
      </c>
      <c r="B5" s="1">
        <v>19</v>
      </c>
      <c r="C5" s="1" t="s">
        <v>9</v>
      </c>
      <c r="D5" s="1" t="s">
        <v>14</v>
      </c>
      <c r="E5" s="1">
        <v>100</v>
      </c>
      <c r="F5" s="1" t="s">
        <v>8</v>
      </c>
    </row>
    <row r="6" spans="1:6" ht="54" x14ac:dyDescent="0.3">
      <c r="A6" s="1">
        <v>5</v>
      </c>
      <c r="B6" s="1">
        <v>56</v>
      </c>
      <c r="C6" s="1" t="s">
        <v>9</v>
      </c>
      <c r="D6" s="1" t="s">
        <v>15</v>
      </c>
      <c r="E6" s="1">
        <v>3000</v>
      </c>
      <c r="F6" s="1" t="s">
        <v>8</v>
      </c>
    </row>
    <row r="7" spans="1:6" ht="36" x14ac:dyDescent="0.3">
      <c r="A7" s="1">
        <v>6</v>
      </c>
      <c r="B7" s="1">
        <v>41</v>
      </c>
      <c r="C7" s="1" t="s">
        <v>6</v>
      </c>
      <c r="D7" s="1" t="s">
        <v>16</v>
      </c>
      <c r="E7" s="1">
        <v>1200</v>
      </c>
      <c r="F7" s="1" t="s">
        <v>11</v>
      </c>
    </row>
    <row r="8" spans="1:6" ht="36" x14ac:dyDescent="0.3">
      <c r="A8" s="1">
        <v>7</v>
      </c>
      <c r="B8" s="1">
        <v>33</v>
      </c>
      <c r="C8" s="1" t="s">
        <v>9</v>
      </c>
      <c r="D8" s="1" t="s">
        <v>17</v>
      </c>
      <c r="E8" s="1">
        <v>800</v>
      </c>
      <c r="F8" s="1" t="s">
        <v>8</v>
      </c>
    </row>
    <row r="9" spans="1:6" ht="36" x14ac:dyDescent="0.3">
      <c r="A9" s="1">
        <v>8</v>
      </c>
      <c r="B9" s="1">
        <v>24</v>
      </c>
      <c r="C9" s="1" t="s">
        <v>6</v>
      </c>
      <c r="D9" s="1" t="s">
        <v>18</v>
      </c>
      <c r="E9" s="1">
        <v>250</v>
      </c>
      <c r="F9" s="1" t="s">
        <v>13</v>
      </c>
    </row>
    <row r="10" spans="1:6" ht="36" x14ac:dyDescent="0.3">
      <c r="A10" s="1">
        <v>9</v>
      </c>
      <c r="B10" s="1">
        <v>29</v>
      </c>
      <c r="C10" s="1" t="s">
        <v>9</v>
      </c>
      <c r="D10" s="1" t="s">
        <v>19</v>
      </c>
      <c r="E10" s="1">
        <v>700</v>
      </c>
      <c r="F10" s="1" t="s">
        <v>11</v>
      </c>
    </row>
    <row r="11" spans="1:6" ht="36" x14ac:dyDescent="0.3">
      <c r="A11" s="1">
        <v>10</v>
      </c>
      <c r="B11" s="1">
        <v>45</v>
      </c>
      <c r="C11" s="1" t="s">
        <v>6</v>
      </c>
      <c r="D11" s="1" t="s">
        <v>20</v>
      </c>
      <c r="E11" s="1">
        <v>1800</v>
      </c>
      <c r="F11" s="1" t="s">
        <v>13</v>
      </c>
    </row>
    <row r="12" spans="1:6" ht="36" x14ac:dyDescent="0.3">
      <c r="A12" s="1">
        <v>11</v>
      </c>
      <c r="B12" s="1">
        <v>31</v>
      </c>
      <c r="C12" s="1" t="s">
        <v>6</v>
      </c>
      <c r="D12" s="1" t="s">
        <v>7</v>
      </c>
      <c r="E12" s="1">
        <v>900</v>
      </c>
      <c r="F12" s="1" t="s">
        <v>8</v>
      </c>
    </row>
    <row r="13" spans="1:6" ht="54" x14ac:dyDescent="0.3">
      <c r="A13" s="1">
        <v>12</v>
      </c>
      <c r="B13" s="1">
        <v>39</v>
      </c>
      <c r="C13" s="1" t="s">
        <v>9</v>
      </c>
      <c r="D13" s="1" t="s">
        <v>10</v>
      </c>
      <c r="E13" s="1">
        <v>1500</v>
      </c>
      <c r="F13" s="1" t="s">
        <v>11</v>
      </c>
    </row>
    <row r="14" spans="1:6" ht="36" x14ac:dyDescent="0.3">
      <c r="A14" s="1">
        <v>13</v>
      </c>
      <c r="B14" s="1">
        <v>37</v>
      </c>
      <c r="C14" s="1" t="s">
        <v>6</v>
      </c>
      <c r="D14" s="1" t="s">
        <v>12</v>
      </c>
      <c r="E14" s="1">
        <v>600</v>
      </c>
      <c r="F14" s="1" t="s">
        <v>13</v>
      </c>
    </row>
    <row r="15" spans="1:6" ht="36" x14ac:dyDescent="0.3">
      <c r="A15" s="1">
        <v>14</v>
      </c>
      <c r="B15" s="1">
        <v>22</v>
      </c>
      <c r="C15" s="1" t="s">
        <v>9</v>
      </c>
      <c r="D15" s="1" t="s">
        <v>14</v>
      </c>
      <c r="E15" s="1">
        <v>200</v>
      </c>
      <c r="F15" s="1" t="s">
        <v>8</v>
      </c>
    </row>
    <row r="16" spans="1:6" ht="54" x14ac:dyDescent="0.3">
      <c r="A16" s="1">
        <v>15</v>
      </c>
      <c r="B16" s="1">
        <v>44</v>
      </c>
      <c r="C16" s="1" t="s">
        <v>9</v>
      </c>
      <c r="D16" s="1" t="s">
        <v>15</v>
      </c>
      <c r="E16" s="1">
        <v>2500</v>
      </c>
      <c r="F16" s="1" t="s">
        <v>8</v>
      </c>
    </row>
    <row r="17" spans="1:6" ht="36" x14ac:dyDescent="0.3">
      <c r="A17" s="1">
        <v>16</v>
      </c>
      <c r="B17" s="1">
        <v>27</v>
      </c>
      <c r="C17" s="1" t="s">
        <v>6</v>
      </c>
      <c r="D17" s="1" t="s">
        <v>16</v>
      </c>
      <c r="E17" s="1">
        <v>1100</v>
      </c>
      <c r="F17" s="1" t="s">
        <v>11</v>
      </c>
    </row>
    <row r="18" spans="1:6" ht="36" x14ac:dyDescent="0.3">
      <c r="A18" s="1">
        <v>17</v>
      </c>
      <c r="B18" s="1">
        <v>30</v>
      </c>
      <c r="C18" s="1" t="s">
        <v>9</v>
      </c>
      <c r="D18" s="1" t="s">
        <v>17</v>
      </c>
      <c r="E18" s="1">
        <v>1200</v>
      </c>
      <c r="F18" s="1" t="s">
        <v>8</v>
      </c>
    </row>
    <row r="19" spans="1:6" ht="36" x14ac:dyDescent="0.3">
      <c r="A19" s="1">
        <v>18</v>
      </c>
      <c r="B19" s="1">
        <v>26</v>
      </c>
      <c r="C19" s="1" t="s">
        <v>6</v>
      </c>
      <c r="D19" s="1" t="s">
        <v>18</v>
      </c>
      <c r="E19" s="1">
        <v>350</v>
      </c>
      <c r="F19" s="1" t="s">
        <v>13</v>
      </c>
    </row>
    <row r="20" spans="1:6" ht="36" x14ac:dyDescent="0.3">
      <c r="A20" s="1">
        <v>19</v>
      </c>
      <c r="B20" s="1">
        <v>34</v>
      </c>
      <c r="C20" s="1" t="s">
        <v>9</v>
      </c>
      <c r="D20" s="1" t="s">
        <v>19</v>
      </c>
      <c r="E20" s="1">
        <v>800</v>
      </c>
      <c r="F20" s="1" t="s">
        <v>11</v>
      </c>
    </row>
    <row r="21" spans="1:6" ht="36" x14ac:dyDescent="0.3">
      <c r="A21" s="1">
        <v>20</v>
      </c>
      <c r="B21" s="1">
        <v>48</v>
      </c>
      <c r="C21" s="1" t="s">
        <v>6</v>
      </c>
      <c r="D21" s="1" t="s">
        <v>20</v>
      </c>
      <c r="E21" s="1">
        <v>2000</v>
      </c>
      <c r="F21" s="1" t="s">
        <v>13</v>
      </c>
    </row>
    <row r="22" spans="1:6" ht="36" x14ac:dyDescent="0.3">
      <c r="A22" s="1">
        <v>21</v>
      </c>
      <c r="B22" s="1">
        <v>39</v>
      </c>
      <c r="C22" s="1" t="s">
        <v>9</v>
      </c>
      <c r="D22" s="1" t="s">
        <v>7</v>
      </c>
      <c r="E22" s="1">
        <v>800</v>
      </c>
      <c r="F22" s="1" t="s">
        <v>8</v>
      </c>
    </row>
    <row r="23" spans="1:6" ht="54" x14ac:dyDescent="0.3">
      <c r="A23" s="1">
        <v>22</v>
      </c>
      <c r="B23" s="1">
        <v>28</v>
      </c>
      <c r="C23" s="1" t="s">
        <v>6</v>
      </c>
      <c r="D23" s="1" t="s">
        <v>10</v>
      </c>
      <c r="E23" s="1">
        <v>1200</v>
      </c>
      <c r="F23" s="1" t="s">
        <v>11</v>
      </c>
    </row>
    <row r="24" spans="1:6" ht="36" x14ac:dyDescent="0.3">
      <c r="A24" s="1">
        <v>23</v>
      </c>
      <c r="B24" s="1">
        <v>43</v>
      </c>
      <c r="C24" s="1" t="s">
        <v>6</v>
      </c>
      <c r="D24" s="1" t="s">
        <v>12</v>
      </c>
      <c r="E24" s="1">
        <v>700</v>
      </c>
      <c r="F24" s="1" t="s">
        <v>13</v>
      </c>
    </row>
    <row r="25" spans="1:6" ht="36" x14ac:dyDescent="0.3">
      <c r="A25" s="1">
        <v>24</v>
      </c>
      <c r="B25" s="1">
        <v>21</v>
      </c>
      <c r="C25" s="1" t="s">
        <v>9</v>
      </c>
      <c r="D25" s="1" t="s">
        <v>14</v>
      </c>
      <c r="E25" s="1">
        <v>150</v>
      </c>
      <c r="F25" s="1" t="s">
        <v>8</v>
      </c>
    </row>
    <row r="26" spans="1:6" ht="54" x14ac:dyDescent="0.3">
      <c r="A26" s="1">
        <v>25</v>
      </c>
      <c r="B26" s="1">
        <v>55</v>
      </c>
      <c r="C26" s="1" t="s">
        <v>9</v>
      </c>
      <c r="D26" s="1" t="s">
        <v>15</v>
      </c>
      <c r="E26" s="1">
        <v>2800</v>
      </c>
      <c r="F26" s="1" t="s">
        <v>8</v>
      </c>
    </row>
    <row r="27" spans="1:6" ht="36" x14ac:dyDescent="0.3">
      <c r="A27" s="1">
        <v>26</v>
      </c>
      <c r="B27" s="1">
        <v>40</v>
      </c>
      <c r="C27" s="1" t="s">
        <v>6</v>
      </c>
      <c r="D27" s="1" t="s">
        <v>16</v>
      </c>
      <c r="E27" s="1">
        <v>1300</v>
      </c>
      <c r="F27" s="1" t="s">
        <v>11</v>
      </c>
    </row>
    <row r="28" spans="1:6" ht="36" x14ac:dyDescent="0.3">
      <c r="A28" s="1">
        <v>27</v>
      </c>
      <c r="B28" s="1">
        <v>32</v>
      </c>
      <c r="C28" s="1" t="s">
        <v>9</v>
      </c>
      <c r="D28" s="1" t="s">
        <v>17</v>
      </c>
      <c r="E28" s="1">
        <v>900</v>
      </c>
      <c r="F28" s="1" t="s">
        <v>8</v>
      </c>
    </row>
    <row r="29" spans="1:6" ht="36" x14ac:dyDescent="0.3">
      <c r="A29" s="1">
        <v>28</v>
      </c>
      <c r="B29" s="1">
        <v>23</v>
      </c>
      <c r="C29" s="1" t="s">
        <v>6</v>
      </c>
      <c r="D29" s="1" t="s">
        <v>18</v>
      </c>
      <c r="E29" s="1">
        <v>300</v>
      </c>
      <c r="F29" s="1" t="s">
        <v>13</v>
      </c>
    </row>
    <row r="30" spans="1:6" ht="36" x14ac:dyDescent="0.3">
      <c r="A30" s="1">
        <v>29</v>
      </c>
      <c r="B30" s="1">
        <v>27</v>
      </c>
      <c r="C30" s="1" t="s">
        <v>9</v>
      </c>
      <c r="D30" s="1" t="s">
        <v>19</v>
      </c>
      <c r="E30" s="1">
        <v>600</v>
      </c>
      <c r="F30" s="1" t="s">
        <v>11</v>
      </c>
    </row>
    <row r="31" spans="1:6" ht="36" x14ac:dyDescent="0.3">
      <c r="A31" s="1">
        <v>30</v>
      </c>
      <c r="B31" s="1">
        <v>46</v>
      </c>
      <c r="C31" s="1" t="s">
        <v>6</v>
      </c>
      <c r="D31" s="1" t="s">
        <v>20</v>
      </c>
      <c r="E31" s="1">
        <v>1700</v>
      </c>
      <c r="F31" s="1" t="s">
        <v>13</v>
      </c>
    </row>
    <row r="32" spans="1:6" ht="36" x14ac:dyDescent="0.3">
      <c r="A32" s="1">
        <v>31</v>
      </c>
      <c r="B32" s="1">
        <v>36</v>
      </c>
      <c r="C32" s="1" t="s">
        <v>6</v>
      </c>
      <c r="D32" s="1" t="s">
        <v>7</v>
      </c>
      <c r="E32" s="1">
        <v>1400</v>
      </c>
      <c r="F32" s="1" t="s">
        <v>8</v>
      </c>
    </row>
    <row r="33" spans="1:6" ht="54" x14ac:dyDescent="0.3">
      <c r="A33" s="1">
        <v>32</v>
      </c>
      <c r="B33" s="1">
        <v>38</v>
      </c>
      <c r="C33" s="1" t="s">
        <v>9</v>
      </c>
      <c r="D33" s="1" t="s">
        <v>10</v>
      </c>
      <c r="E33" s="1">
        <v>1800</v>
      </c>
      <c r="F33" s="1" t="s">
        <v>11</v>
      </c>
    </row>
    <row r="34" spans="1:6" ht="36" x14ac:dyDescent="0.3">
      <c r="A34" s="1">
        <v>33</v>
      </c>
      <c r="B34" s="1">
        <v>41</v>
      </c>
      <c r="C34" s="1" t="s">
        <v>6</v>
      </c>
      <c r="D34" s="1" t="s">
        <v>12</v>
      </c>
      <c r="E34" s="1">
        <v>900</v>
      </c>
      <c r="F34" s="1" t="s">
        <v>13</v>
      </c>
    </row>
    <row r="35" spans="1:6" ht="36" x14ac:dyDescent="0.3">
      <c r="A35" s="1">
        <v>34</v>
      </c>
      <c r="B35" s="1">
        <v>20</v>
      </c>
      <c r="C35" s="1" t="s">
        <v>9</v>
      </c>
      <c r="D35" s="1" t="s">
        <v>14</v>
      </c>
      <c r="E35" s="1">
        <v>120</v>
      </c>
      <c r="F35" s="1" t="s">
        <v>13</v>
      </c>
    </row>
    <row r="36" spans="1:6" ht="54" x14ac:dyDescent="0.3">
      <c r="A36" s="1">
        <v>35</v>
      </c>
      <c r="B36" s="1">
        <v>57</v>
      </c>
      <c r="C36" s="1" t="s">
        <v>9</v>
      </c>
      <c r="D36" s="1" t="s">
        <v>15</v>
      </c>
      <c r="E36" s="1">
        <v>3200</v>
      </c>
      <c r="F36" s="1" t="s">
        <v>8</v>
      </c>
    </row>
    <row r="37" spans="1:6" ht="36" x14ac:dyDescent="0.3">
      <c r="A37" s="1">
        <v>36</v>
      </c>
      <c r="B37" s="1">
        <v>43</v>
      </c>
      <c r="C37" s="1" t="s">
        <v>6</v>
      </c>
      <c r="D37" s="1" t="s">
        <v>16</v>
      </c>
      <c r="E37" s="1">
        <v>1400</v>
      </c>
      <c r="F37" s="1" t="s">
        <v>11</v>
      </c>
    </row>
    <row r="38" spans="1:6" ht="36" x14ac:dyDescent="0.3">
      <c r="A38" s="1">
        <v>37</v>
      </c>
      <c r="B38" s="1">
        <v>34</v>
      </c>
      <c r="C38" s="1" t="s">
        <v>9</v>
      </c>
      <c r="D38" s="1" t="s">
        <v>17</v>
      </c>
      <c r="E38" s="1">
        <v>1000</v>
      </c>
      <c r="F38" s="1" t="s">
        <v>8</v>
      </c>
    </row>
    <row r="39" spans="1:6" ht="36" x14ac:dyDescent="0.3">
      <c r="A39" s="1">
        <v>38</v>
      </c>
      <c r="B39" s="1">
        <v>25</v>
      </c>
      <c r="C39" s="1" t="s">
        <v>6</v>
      </c>
      <c r="D39" s="1" t="s">
        <v>18</v>
      </c>
      <c r="E39" s="1">
        <v>400</v>
      </c>
      <c r="F39" s="1" t="s">
        <v>13</v>
      </c>
    </row>
    <row r="40" spans="1:6" ht="36" x14ac:dyDescent="0.3">
      <c r="A40" s="1">
        <v>39</v>
      </c>
      <c r="B40" s="1">
        <v>33</v>
      </c>
      <c r="C40" s="1" t="s">
        <v>9</v>
      </c>
      <c r="D40" s="1" t="s">
        <v>19</v>
      </c>
      <c r="E40" s="1">
        <v>750</v>
      </c>
      <c r="F40" s="1" t="s">
        <v>11</v>
      </c>
    </row>
    <row r="41" spans="1:6" ht="36" x14ac:dyDescent="0.3">
      <c r="A41" s="1">
        <v>40</v>
      </c>
      <c r="B41" s="1">
        <v>47</v>
      </c>
      <c r="C41" s="1" t="s">
        <v>6</v>
      </c>
      <c r="D41" s="1" t="s">
        <v>20</v>
      </c>
      <c r="E41" s="1">
        <v>1900</v>
      </c>
      <c r="F41" s="1" t="s">
        <v>13</v>
      </c>
    </row>
    <row r="42" spans="1:6" ht="36" x14ac:dyDescent="0.3">
      <c r="A42" s="1">
        <v>41</v>
      </c>
      <c r="B42" s="1">
        <v>30</v>
      </c>
      <c r="C42" s="1" t="s">
        <v>9</v>
      </c>
      <c r="D42" s="1" t="s">
        <v>7</v>
      </c>
      <c r="E42" s="1">
        <v>950</v>
      </c>
      <c r="F42" s="1" t="s">
        <v>8</v>
      </c>
    </row>
    <row r="43" spans="1:6" ht="54" x14ac:dyDescent="0.3">
      <c r="A43" s="1">
        <v>42</v>
      </c>
      <c r="B43" s="1">
        <v>29</v>
      </c>
      <c r="C43" s="1" t="s">
        <v>6</v>
      </c>
      <c r="D43" s="1" t="s">
        <v>10</v>
      </c>
      <c r="E43" s="1">
        <v>1100</v>
      </c>
      <c r="F43" s="1" t="s">
        <v>11</v>
      </c>
    </row>
    <row r="44" spans="1:6" ht="36" x14ac:dyDescent="0.3">
      <c r="A44" s="1">
        <v>43</v>
      </c>
      <c r="B44" s="1">
        <v>44</v>
      </c>
      <c r="C44" s="1" t="s">
        <v>6</v>
      </c>
      <c r="D44" s="1" t="s">
        <v>12</v>
      </c>
      <c r="E44" s="1">
        <v>650</v>
      </c>
      <c r="F44" s="1" t="s">
        <v>13</v>
      </c>
    </row>
    <row r="45" spans="1:6" ht="36" x14ac:dyDescent="0.3">
      <c r="A45" s="1">
        <v>44</v>
      </c>
      <c r="B45" s="1">
        <v>23</v>
      </c>
      <c r="C45" s="1" t="s">
        <v>9</v>
      </c>
      <c r="D45" s="1" t="s">
        <v>14</v>
      </c>
      <c r="E45" s="1">
        <v>180</v>
      </c>
      <c r="F45" s="1" t="s">
        <v>8</v>
      </c>
    </row>
    <row r="46" spans="1:6" ht="54" x14ac:dyDescent="0.3">
      <c r="A46" s="1">
        <v>45</v>
      </c>
      <c r="B46" s="1">
        <v>54</v>
      </c>
      <c r="C46" s="1" t="s">
        <v>9</v>
      </c>
      <c r="D46" s="1" t="s">
        <v>15</v>
      </c>
      <c r="E46" s="1">
        <v>2700</v>
      </c>
      <c r="F46" s="1" t="s">
        <v>8</v>
      </c>
    </row>
    <row r="47" spans="1:6" ht="36" x14ac:dyDescent="0.3">
      <c r="A47" s="1">
        <v>46</v>
      </c>
      <c r="B47" s="1">
        <v>42</v>
      </c>
      <c r="C47" s="1" t="s">
        <v>6</v>
      </c>
      <c r="D47" s="1" t="s">
        <v>16</v>
      </c>
      <c r="E47" s="1">
        <v>1250</v>
      </c>
      <c r="F47" s="1" t="s">
        <v>11</v>
      </c>
    </row>
    <row r="48" spans="1:6" ht="36" x14ac:dyDescent="0.3">
      <c r="A48" s="1">
        <v>47</v>
      </c>
      <c r="B48" s="1">
        <v>31</v>
      </c>
      <c r="C48" s="1" t="s">
        <v>9</v>
      </c>
      <c r="D48" s="1" t="s">
        <v>17</v>
      </c>
      <c r="E48" s="1">
        <v>850</v>
      </c>
      <c r="F48" s="1" t="s">
        <v>8</v>
      </c>
    </row>
    <row r="49" spans="1:6" ht="36" x14ac:dyDescent="0.3">
      <c r="A49" s="1">
        <v>48</v>
      </c>
      <c r="B49" s="1">
        <v>22</v>
      </c>
      <c r="C49" s="1" t="s">
        <v>6</v>
      </c>
      <c r="D49" s="1" t="s">
        <v>18</v>
      </c>
      <c r="E49" s="1">
        <v>320</v>
      </c>
      <c r="F49" s="1" t="s">
        <v>13</v>
      </c>
    </row>
    <row r="50" spans="1:6" ht="36" x14ac:dyDescent="0.3">
      <c r="A50" s="1">
        <v>49</v>
      </c>
      <c r="B50" s="1">
        <v>28</v>
      </c>
      <c r="C50" s="1" t="s">
        <v>9</v>
      </c>
      <c r="D50" s="1" t="s">
        <v>19</v>
      </c>
      <c r="E50" s="1">
        <v>650</v>
      </c>
      <c r="F50" s="1" t="s">
        <v>11</v>
      </c>
    </row>
    <row r="51" spans="1:6" ht="36" x14ac:dyDescent="0.3">
      <c r="A51" s="1">
        <v>50</v>
      </c>
      <c r="B51" s="1">
        <v>49</v>
      </c>
      <c r="C51" s="1" t="s">
        <v>6</v>
      </c>
      <c r="D51" s="1" t="s">
        <v>20</v>
      </c>
      <c r="E51" s="1">
        <v>2100</v>
      </c>
      <c r="F51" s="1" t="s">
        <v>13</v>
      </c>
    </row>
    <row r="52" spans="1:6" ht="36" x14ac:dyDescent="0.3">
      <c r="A52" s="1">
        <v>51</v>
      </c>
      <c r="B52" s="1">
        <v>35</v>
      </c>
      <c r="C52" s="1" t="s">
        <v>6</v>
      </c>
      <c r="D52" s="1" t="s">
        <v>7</v>
      </c>
      <c r="E52" s="1">
        <v>1600</v>
      </c>
      <c r="F52" s="1" t="s">
        <v>8</v>
      </c>
    </row>
    <row r="53" spans="1:6" ht="54" x14ac:dyDescent="0.3">
      <c r="A53" s="1">
        <v>52</v>
      </c>
      <c r="B53" s="1">
        <v>37</v>
      </c>
      <c r="C53" s="1" t="s">
        <v>9</v>
      </c>
      <c r="D53" s="1" t="s">
        <v>10</v>
      </c>
      <c r="E53" s="1">
        <v>2200</v>
      </c>
      <c r="F53" s="1" t="s">
        <v>11</v>
      </c>
    </row>
    <row r="54" spans="1:6" ht="36" x14ac:dyDescent="0.3">
      <c r="A54" s="1">
        <v>53</v>
      </c>
      <c r="B54" s="1">
        <v>40</v>
      </c>
      <c r="C54" s="1" t="s">
        <v>6</v>
      </c>
      <c r="D54" s="1" t="s">
        <v>12</v>
      </c>
      <c r="E54" s="1">
        <v>750</v>
      </c>
      <c r="F54" s="1" t="s">
        <v>13</v>
      </c>
    </row>
    <row r="55" spans="1:6" ht="36" x14ac:dyDescent="0.3">
      <c r="A55" s="1">
        <v>54</v>
      </c>
      <c r="B55" s="1">
        <v>18</v>
      </c>
      <c r="C55" s="1" t="s">
        <v>9</v>
      </c>
      <c r="D55" s="1" t="s">
        <v>14</v>
      </c>
      <c r="E55" s="1">
        <v>80</v>
      </c>
      <c r="F55" s="1" t="s">
        <v>8</v>
      </c>
    </row>
    <row r="56" spans="1:6" ht="54" x14ac:dyDescent="0.3">
      <c r="A56" s="1">
        <v>55</v>
      </c>
      <c r="B56" s="1">
        <v>53</v>
      </c>
      <c r="C56" s="1" t="s">
        <v>9</v>
      </c>
      <c r="D56" s="1" t="s">
        <v>15</v>
      </c>
      <c r="E56" s="1">
        <v>3500</v>
      </c>
      <c r="F56" s="1" t="s">
        <v>8</v>
      </c>
    </row>
    <row r="57" spans="1:6" ht="36" x14ac:dyDescent="0.3">
      <c r="A57" s="1">
        <v>56</v>
      </c>
      <c r="B57" s="1">
        <v>39</v>
      </c>
      <c r="C57" s="1" t="s">
        <v>6</v>
      </c>
      <c r="D57" s="1" t="s">
        <v>16</v>
      </c>
      <c r="E57" s="1">
        <v>1400</v>
      </c>
      <c r="F57" s="1" t="s">
        <v>11</v>
      </c>
    </row>
    <row r="58" spans="1:6" ht="36" x14ac:dyDescent="0.3">
      <c r="A58" s="1">
        <v>57</v>
      </c>
      <c r="B58" s="1">
        <v>32</v>
      </c>
      <c r="C58" s="1" t="s">
        <v>9</v>
      </c>
      <c r="D58" s="1" t="s">
        <v>17</v>
      </c>
      <c r="E58" s="1">
        <v>950</v>
      </c>
      <c r="F58" s="1" t="s">
        <v>8</v>
      </c>
    </row>
    <row r="59" spans="1:6" ht="36" x14ac:dyDescent="0.3">
      <c r="A59" s="1">
        <v>58</v>
      </c>
      <c r="B59" s="1">
        <v>24</v>
      </c>
      <c r="C59" s="1" t="s">
        <v>6</v>
      </c>
      <c r="D59" s="1" t="s">
        <v>18</v>
      </c>
      <c r="E59" s="1">
        <v>280</v>
      </c>
      <c r="F59" s="1" t="s">
        <v>13</v>
      </c>
    </row>
    <row r="60" spans="1:6" ht="36" x14ac:dyDescent="0.3">
      <c r="A60" s="1">
        <v>59</v>
      </c>
      <c r="B60" s="1">
        <v>31</v>
      </c>
      <c r="C60" s="1" t="s">
        <v>9</v>
      </c>
      <c r="D60" s="1" t="s">
        <v>19</v>
      </c>
      <c r="E60" s="1">
        <v>650</v>
      </c>
      <c r="F60" s="1" t="s">
        <v>11</v>
      </c>
    </row>
    <row r="61" spans="1:6" ht="36" x14ac:dyDescent="0.3">
      <c r="A61" s="1">
        <v>60</v>
      </c>
      <c r="B61" s="1">
        <v>50</v>
      </c>
      <c r="C61" s="1" t="s">
        <v>6</v>
      </c>
      <c r="D61" s="1" t="s">
        <v>20</v>
      </c>
      <c r="E61" s="1">
        <v>2300</v>
      </c>
      <c r="F61" s="1" t="s">
        <v>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10B9A-C4FB-44CB-9CDE-9E2E1E3FCC3D}">
  <sheetPr codeName="Sheet14"/>
  <dimension ref="A3:H38"/>
  <sheetViews>
    <sheetView tabSelected="1" topLeftCell="A24" workbookViewId="0">
      <selection activeCell="J33" sqref="J33"/>
    </sheetView>
  </sheetViews>
  <sheetFormatPr defaultRowHeight="14.4" x14ac:dyDescent="0.3"/>
  <cols>
    <col min="1" max="1" width="21.33203125" bestFit="1" customWidth="1"/>
    <col min="2" max="2" width="15.5546875" bestFit="1" customWidth="1"/>
    <col min="3" max="3" width="11.88671875" customWidth="1"/>
    <col min="4" max="4" width="12.77734375" customWidth="1"/>
    <col min="5" max="5" width="17.88671875" customWidth="1"/>
    <col min="8" max="8" width="27.88671875" customWidth="1"/>
  </cols>
  <sheetData>
    <row r="3" spans="1:3" x14ac:dyDescent="0.3">
      <c r="A3" s="20" t="s">
        <v>38</v>
      </c>
      <c r="B3" s="20" t="s">
        <v>37</v>
      </c>
    </row>
    <row r="4" spans="1:3" x14ac:dyDescent="0.3">
      <c r="A4" s="20" t="s">
        <v>35</v>
      </c>
      <c r="B4" t="s">
        <v>9</v>
      </c>
      <c r="C4" t="s">
        <v>36</v>
      </c>
    </row>
    <row r="5" spans="1:3" x14ac:dyDescent="0.3">
      <c r="A5" s="21" t="s">
        <v>11</v>
      </c>
      <c r="B5" s="22">
        <v>11650</v>
      </c>
      <c r="C5" s="22">
        <v>11650</v>
      </c>
    </row>
    <row r="6" spans="1:3" x14ac:dyDescent="0.3">
      <c r="A6" s="21" t="s">
        <v>8</v>
      </c>
      <c r="B6" s="22">
        <v>25860</v>
      </c>
      <c r="C6" s="22">
        <v>25860</v>
      </c>
    </row>
    <row r="7" spans="1:3" x14ac:dyDescent="0.3">
      <c r="A7" s="21" t="s">
        <v>13</v>
      </c>
      <c r="B7" s="22">
        <v>120</v>
      </c>
      <c r="C7" s="22">
        <v>120</v>
      </c>
    </row>
    <row r="8" spans="1:3" x14ac:dyDescent="0.3">
      <c r="A8" s="21" t="s">
        <v>36</v>
      </c>
      <c r="B8" s="22">
        <v>37630</v>
      </c>
      <c r="C8" s="22">
        <v>37630</v>
      </c>
    </row>
    <row r="20" spans="1:8" ht="36.6" customHeight="1" x14ac:dyDescent="0.35">
      <c r="A20" s="24" t="s">
        <v>41</v>
      </c>
      <c r="B20" s="24"/>
      <c r="C20" s="24"/>
      <c r="D20" s="24"/>
      <c r="E20" s="24"/>
      <c r="F20" s="24"/>
      <c r="G20" s="24"/>
      <c r="H20" s="24"/>
    </row>
    <row r="21" spans="1:8" ht="13.2" customHeight="1" x14ac:dyDescent="0.3"/>
    <row r="22" spans="1:8" ht="43.2" x14ac:dyDescent="0.3">
      <c r="B22" s="29" t="s">
        <v>2</v>
      </c>
      <c r="C22" s="29" t="s">
        <v>39</v>
      </c>
      <c r="D22" s="29" t="s">
        <v>40</v>
      </c>
    </row>
    <row r="23" spans="1:8" x14ac:dyDescent="0.3">
      <c r="B23" s="25" t="s">
        <v>6</v>
      </c>
      <c r="C23" s="26">
        <v>33150</v>
      </c>
      <c r="D23" s="28">
        <v>0.46800000000000003</v>
      </c>
    </row>
    <row r="24" spans="1:8" x14ac:dyDescent="0.3">
      <c r="B24" s="25" t="s">
        <v>9</v>
      </c>
      <c r="C24" s="26">
        <v>37630</v>
      </c>
      <c r="D24" s="28">
        <v>0.53200000000000003</v>
      </c>
    </row>
    <row r="25" spans="1:8" x14ac:dyDescent="0.3">
      <c r="B25" s="25" t="s">
        <v>22</v>
      </c>
      <c r="C25" s="26">
        <v>70780</v>
      </c>
      <c r="D25" s="27">
        <v>1</v>
      </c>
    </row>
    <row r="26" spans="1:8" ht="16.2" customHeight="1" x14ac:dyDescent="0.3">
      <c r="B26" s="33"/>
      <c r="C26" s="34"/>
      <c r="D26" s="35"/>
    </row>
    <row r="27" spans="1:8" ht="15" x14ac:dyDescent="0.35">
      <c r="A27" s="32" t="s">
        <v>45</v>
      </c>
      <c r="B27" s="23"/>
      <c r="C27" s="23"/>
      <c r="D27" s="23"/>
      <c r="E27" s="23"/>
      <c r="F27" s="23"/>
      <c r="G27" s="23"/>
      <c r="H27" s="23"/>
    </row>
    <row r="28" spans="1:8" ht="28.8" x14ac:dyDescent="0.3">
      <c r="B28" s="30" t="s">
        <v>5</v>
      </c>
      <c r="C28" s="30" t="s">
        <v>42</v>
      </c>
      <c r="D28" s="30" t="s">
        <v>43</v>
      </c>
      <c r="E28" s="30" t="s">
        <v>44</v>
      </c>
    </row>
    <row r="29" spans="1:8" x14ac:dyDescent="0.3">
      <c r="B29" s="10" t="s">
        <v>8</v>
      </c>
      <c r="C29" s="10">
        <v>5400</v>
      </c>
      <c r="D29" s="10">
        <v>25860</v>
      </c>
      <c r="E29" s="31" t="s">
        <v>9</v>
      </c>
    </row>
    <row r="30" spans="1:8" x14ac:dyDescent="0.3">
      <c r="B30" s="10" t="s">
        <v>11</v>
      </c>
      <c r="C30" s="10">
        <v>9950</v>
      </c>
      <c r="D30" s="10">
        <v>11650</v>
      </c>
      <c r="E30" s="31" t="s">
        <v>9</v>
      </c>
    </row>
    <row r="31" spans="1:8" ht="23.4" customHeight="1" x14ac:dyDescent="0.3">
      <c r="B31" s="10" t="s">
        <v>13</v>
      </c>
      <c r="C31" s="10">
        <v>17800</v>
      </c>
      <c r="D31" s="10">
        <v>120</v>
      </c>
      <c r="E31" s="31" t="s">
        <v>6</v>
      </c>
    </row>
    <row r="32" spans="1:8" ht="23.4" customHeight="1" x14ac:dyDescent="0.3">
      <c r="B32" s="36"/>
      <c r="C32" s="36"/>
      <c r="D32" s="36"/>
      <c r="E32" s="37"/>
    </row>
    <row r="33" spans="1:8" ht="18" x14ac:dyDescent="0.35">
      <c r="A33" s="24" t="s">
        <v>46</v>
      </c>
      <c r="B33" s="23"/>
      <c r="C33" s="23"/>
      <c r="D33" s="23"/>
      <c r="E33" s="23"/>
      <c r="F33" s="23"/>
      <c r="G33" s="23"/>
      <c r="H33" s="23"/>
    </row>
    <row r="34" spans="1:8" ht="12" customHeight="1" x14ac:dyDescent="0.3"/>
    <row r="35" spans="1:8" ht="23.4" customHeight="1" x14ac:dyDescent="0.3">
      <c r="B35" s="30" t="s">
        <v>5</v>
      </c>
      <c r="C35" s="30" t="s">
        <v>42</v>
      </c>
      <c r="D35" s="30" t="s">
        <v>43</v>
      </c>
    </row>
    <row r="36" spans="1:8" ht="22.2" customHeight="1" x14ac:dyDescent="0.3">
      <c r="B36" s="10" t="s">
        <v>8</v>
      </c>
      <c r="C36" s="10">
        <v>5400</v>
      </c>
      <c r="D36" s="10">
        <v>25860</v>
      </c>
    </row>
    <row r="37" spans="1:8" ht="20.399999999999999" customHeight="1" x14ac:dyDescent="0.3">
      <c r="B37" s="10" t="s">
        <v>11</v>
      </c>
      <c r="C37" s="10">
        <v>9950</v>
      </c>
      <c r="D37" s="10">
        <v>11650</v>
      </c>
    </row>
    <row r="38" spans="1:8" x14ac:dyDescent="0.3">
      <c r="B38" s="10" t="s">
        <v>13</v>
      </c>
      <c r="C38" s="10">
        <v>17800</v>
      </c>
      <c r="D38" s="10">
        <v>120</v>
      </c>
    </row>
  </sheetData>
  <mergeCells count="3">
    <mergeCell ref="A20:H20"/>
    <mergeCell ref="A27:H27"/>
    <mergeCell ref="A33:H33"/>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Purchase History</vt:lpstr>
      <vt:lpstr>Goal Seek</vt:lpstr>
      <vt:lpstr>Dashboard Data</vt:lpstr>
      <vt:lpstr>Part 2 end</vt:lpstr>
      <vt:lpstr>Part 3</vt:lpstr>
      <vt:lpstr>Part 4 </vt:lpstr>
      <vt:lpstr>Part 4 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Jean.Billa</dc:creator>
  <cp:lastModifiedBy>Jean.Billa</cp:lastModifiedBy>
  <dcterms:created xsi:type="dcterms:W3CDTF">2025-11-22T17:47:15Z</dcterms:created>
  <dcterms:modified xsi:type="dcterms:W3CDTF">2025-11-23T12:59:52Z</dcterms:modified>
</cp:coreProperties>
</file>